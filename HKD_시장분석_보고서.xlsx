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분석 개요" sheetId="1" state="visible" r:id="rId3"/>
    <sheet name="후보 지역 종합평가" sheetId="2" state="visible" r:id="rId4"/>
    <sheet name="계절별 수요 분석" sheetId="3" state="visible" r:id="rId5"/>
    <sheet name="배달앱 커버리지" sheetId="4" state="visible" r:id="rId6"/>
    <sheet name="수요 추정" sheetId="5" state="visible" r:id="rId7"/>
    <sheet name="확산 전략 권고" sheetId="6" state="visible" r:id="rId8"/>
    <sheet name="데이터 출처" sheetId="7" state="visible" r:id="rId9"/>
    <sheet name="배달거리 시뮬레이션" sheetId="8" state="visible" r:id="rId10"/>
    <sheet name="수익 시뮬레이션" sheetId="9" state="visible" r:id="rId11"/>
    <sheet name="연간수익 비교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<sst xmlns="http://schemas.openxmlformats.org/spreadsheetml/2006/main" count="675" uniqueCount="400">
  <si>
    <r>
      <rPr>
        <b val="true"/>
        <sz val="18"/>
        <color rgb="FF1F4E79"/>
        <rFont val="DejaVu Sans"/>
        <family val="2"/>
      </rPr>
      <t xml:space="preserve">한경배달</t>
    </r>
    <r>
      <rPr>
        <b val="true"/>
        <sz val="18"/>
        <color rgb="FF1F4E79"/>
        <rFont val="DejaVu Sans"/>
        <family val="2"/>
        <charset val="1"/>
      </rPr>
      <t xml:space="preserve">(HKD) </t>
    </r>
    <r>
      <rPr>
        <b val="true"/>
        <sz val="18"/>
        <color rgb="FF1F4E79"/>
        <rFont val="DejaVu Sans"/>
        <family val="2"/>
      </rPr>
      <t xml:space="preserve">서비스 확산 시장분석 보고서</t>
    </r>
  </si>
  <si>
    <r>
      <rPr>
        <sz val="11"/>
        <color rgb="FF666666"/>
        <rFont val="DejaVu Sans"/>
        <family val="2"/>
      </rPr>
      <t xml:space="preserve">분석일</t>
    </r>
    <r>
      <rPr>
        <sz val="11"/>
        <color rgb="FF666666"/>
        <rFont val="DejaVu Sans"/>
        <family val="2"/>
        <charset val="1"/>
      </rPr>
      <t xml:space="preserve">: 2026</t>
    </r>
    <r>
      <rPr>
        <sz val="11"/>
        <color rgb="FF666666"/>
        <rFont val="DejaVu Sans"/>
        <family val="2"/>
      </rPr>
      <t xml:space="preserve">년 </t>
    </r>
    <r>
      <rPr>
        <sz val="11"/>
        <color rgb="FF666666"/>
        <rFont val="DejaVu Sans"/>
        <family val="2"/>
        <charset val="1"/>
      </rPr>
      <t xml:space="preserve">4</t>
    </r>
    <r>
      <rPr>
        <sz val="11"/>
        <color rgb="FF666666"/>
        <rFont val="DejaVu Sans"/>
        <family val="2"/>
      </rPr>
      <t xml:space="preserve">월 </t>
    </r>
    <r>
      <rPr>
        <sz val="11"/>
        <color rgb="FF666666"/>
        <rFont val="DejaVu Sans"/>
        <family val="2"/>
        <charset val="1"/>
      </rPr>
      <t xml:space="preserve">| </t>
    </r>
    <r>
      <rPr>
        <sz val="11"/>
        <color rgb="FF666666"/>
        <rFont val="DejaVu Sans"/>
        <family val="2"/>
      </rPr>
      <t xml:space="preserve">분석 대상</t>
    </r>
    <r>
      <rPr>
        <sz val="11"/>
        <color rgb="FF666666"/>
        <rFont val="DejaVu Sans"/>
        <family val="2"/>
        <charset val="1"/>
      </rPr>
      <t xml:space="preserve">: </t>
    </r>
    <r>
      <rPr>
        <sz val="11"/>
        <color rgb="FF666666"/>
        <rFont val="DejaVu Sans"/>
        <family val="2"/>
      </rPr>
      <t xml:space="preserve">전국 주요 관광지 중 배달 사각지대</t>
    </r>
  </si>
  <si>
    <r>
      <rPr>
        <b val="true"/>
        <sz val="12"/>
        <color rgb="FF1F4E79"/>
        <rFont val="Arial"/>
        <family val="0"/>
        <charset val="1"/>
      </rPr>
      <t xml:space="preserve">1. </t>
    </r>
    <r>
      <rPr>
        <b val="true"/>
        <sz val="12"/>
        <color rgb="FF1F4E79"/>
        <rFont val="DejaVu Sans"/>
        <family val="2"/>
      </rPr>
      <t xml:space="preserve">분석 배경</t>
    </r>
  </si>
  <si>
    <r>
      <rPr>
        <sz val="10"/>
        <rFont val="DejaVu Sans"/>
        <family val="2"/>
      </rPr>
      <t xml:space="preserve">한경배달</t>
    </r>
    <r>
      <rPr>
        <sz val="10"/>
        <rFont val="DejaVu Sans"/>
        <family val="2"/>
        <charset val="1"/>
      </rPr>
      <t xml:space="preserve">(HKD)</t>
    </r>
    <r>
      <rPr>
        <sz val="10"/>
        <rFont val="DejaVu Sans"/>
        <family val="2"/>
      </rPr>
      <t xml:space="preserve">은 제주 한경면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한림읍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대정읍 등 기존 배달앱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배달의민족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쿠팡이츠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요기요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서비스가 미치지 않는 농어촌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관광지 지역에서 전화→</t>
    </r>
    <r>
      <rPr>
        <sz val="10"/>
        <rFont val="DejaVu Sans"/>
        <family val="2"/>
        <charset val="1"/>
      </rPr>
      <t xml:space="preserve">SMS→</t>
    </r>
    <r>
      <rPr>
        <sz val="10"/>
        <rFont val="DejaVu Sans"/>
        <family val="2"/>
      </rPr>
      <t xml:space="preserve">웹 주문 방식의 배달 서비스를 운영 중입니다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본 보고서는 이 모델을 전국의 유사 조건 지역으로 확산하기 위한 타겟 시장을 분석합니다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</si>
  <si>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2"/>
        <color rgb="FF1F4E79"/>
        <rFont val="Arial"/>
        <family val="0"/>
        <charset val="1"/>
      </rPr>
      <t xml:space="preserve">2. </t>
    </r>
    <r>
      <rPr>
        <b val="true"/>
        <sz val="12"/>
        <color rgb="FF1F4E79"/>
        <rFont val="DejaVu Sans"/>
        <family val="2"/>
      </rPr>
      <t xml:space="preserve">분석 기준</t>
    </r>
  </si>
  <si>
    <t xml:space="preserve">기준 항목</t>
  </si>
  <si>
    <t xml:space="preserve">설명</t>
  </si>
  <si>
    <t xml:space="preserve">가중치</t>
  </si>
  <si>
    <t xml:space="preserve">배달앱 커버리지 부족</t>
  </si>
  <si>
    <r>
      <rPr>
        <sz val="10"/>
        <rFont val="DejaVu Sans"/>
        <family val="2"/>
      </rPr>
      <t xml:space="preserve">배민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쿠팡이츠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요기요의 배달 가능 지역에서 제외되거나 라이더 수급이 어려운 지역</t>
    </r>
  </si>
  <si>
    <t xml:space="preserve">30%</t>
  </si>
  <si>
    <t xml:space="preserve">관광객 유입량</t>
  </si>
  <si>
    <r>
      <rPr>
        <sz val="10"/>
        <rFont val="DejaVu Sans"/>
        <family val="2"/>
      </rPr>
      <t xml:space="preserve">연간 관광객 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이동통신 빅데이터 기준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및 계절 편차</t>
    </r>
  </si>
  <si>
    <t xml:space="preserve">25%</t>
  </si>
  <si>
    <t xml:space="preserve">상주인구 규모</t>
  </si>
  <si>
    <t xml:space="preserve">읍면 단위 상주인구 수 및 인구감소지역 지정 여부</t>
  </si>
  <si>
    <t xml:space="preserve">20%</t>
  </si>
  <si>
    <r>
      <rPr>
        <sz val="10"/>
        <rFont val="DejaVu Sans"/>
        <family val="2"/>
      </rPr>
      <t xml:space="preserve">음식점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가맹점 후보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밀도</t>
    </r>
  </si>
  <si>
    <r>
      <rPr>
        <sz val="10"/>
        <rFont val="DejaVu Sans"/>
        <family val="2"/>
      </rPr>
      <t xml:space="preserve">해당 지역의 음식점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카페 등 가맹 가능 업체 수</t>
    </r>
  </si>
  <si>
    <t xml:space="preserve">15%</t>
  </si>
  <si>
    <r>
      <rPr>
        <sz val="10"/>
        <rFont val="DejaVu Sans"/>
        <family val="2"/>
      </rPr>
      <t xml:space="preserve">진입 장벽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경쟁 환경</t>
    </r>
  </si>
  <si>
    <r>
      <rPr>
        <sz val="10"/>
        <rFont val="DejaVu Sans"/>
        <family val="2"/>
      </rPr>
      <t xml:space="preserve">공공배달앱 운영 여부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지자체 협력 가능성</t>
    </r>
  </si>
  <si>
    <t xml:space="preserve">10%</t>
  </si>
  <si>
    <r>
      <rPr>
        <b val="true"/>
        <sz val="12"/>
        <color rgb="FF1F4E79"/>
        <rFont val="Arial"/>
        <family val="0"/>
        <charset val="1"/>
      </rPr>
      <t xml:space="preserve">3. </t>
    </r>
    <r>
      <rPr>
        <b val="true"/>
        <sz val="12"/>
        <color rgb="FF1F4E79"/>
        <rFont val="DejaVu Sans"/>
        <family val="2"/>
      </rPr>
      <t xml:space="preserve">핵심 발견</t>
    </r>
  </si>
  <si>
    <r>
      <rPr>
        <sz val="10"/>
        <rFont val="DejaVu Sans"/>
        <family val="2"/>
      </rPr>
      <t xml:space="preserve">• 전국 </t>
    </r>
    <r>
      <rPr>
        <sz val="10"/>
        <rFont val="DejaVu Sans"/>
        <family val="2"/>
        <charset val="1"/>
      </rPr>
      <t xml:space="preserve">89</t>
    </r>
    <r>
      <rPr>
        <sz val="10"/>
        <rFont val="DejaVu Sans"/>
        <family val="2"/>
      </rPr>
      <t xml:space="preserve">개 인구감소지역 중 관광 수요가 높은 </t>
    </r>
    <r>
      <rPr>
        <sz val="10"/>
        <rFont val="DejaVu Sans"/>
        <family val="2"/>
        <charset val="1"/>
      </rPr>
      <t xml:space="preserve">15</t>
    </r>
    <r>
      <rPr>
        <sz val="10"/>
        <rFont val="DejaVu Sans"/>
        <family val="2"/>
      </rPr>
      <t xml:space="preserve">개 시군을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차 후보로 선정</t>
    </r>
  </si>
  <si>
    <r>
      <rPr>
        <sz val="10"/>
        <rFont val="Arial"/>
        <family val="0"/>
        <charset val="1"/>
      </rPr>
      <t xml:space="preserve">• S</t>
    </r>
    <r>
      <rPr>
        <sz val="10"/>
        <rFont val="DejaVu Sans"/>
        <family val="2"/>
      </rPr>
      <t xml:space="preserve">등급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최우선 추천</t>
    </r>
    <r>
      <rPr>
        <sz val="10"/>
        <rFont val="Arial"/>
        <family val="0"/>
        <charset val="1"/>
      </rPr>
      <t xml:space="preserve">): </t>
    </r>
    <r>
      <rPr>
        <sz val="10"/>
        <rFont val="DejaVu Sans"/>
        <family val="2"/>
      </rPr>
      <t xml:space="preserve">강원 양양군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강원 고성군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경남 남해군 — 관광 수요 높고 배달 인프라 심각 부족</t>
    </r>
  </si>
  <si>
    <r>
      <rPr>
        <sz val="10"/>
        <rFont val="Arial"/>
        <family val="0"/>
        <charset val="1"/>
      </rPr>
      <t xml:space="preserve">• A</t>
    </r>
    <r>
      <rPr>
        <sz val="10"/>
        <rFont val="DejaVu Sans"/>
        <family val="2"/>
      </rPr>
      <t xml:space="preserve">등급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우선 추천</t>
    </r>
    <r>
      <rPr>
        <sz val="10"/>
        <rFont val="Arial"/>
        <family val="0"/>
        <charset val="1"/>
      </rPr>
      <t xml:space="preserve">): </t>
    </r>
    <r>
      <rPr>
        <sz val="10"/>
        <rFont val="DejaVu Sans"/>
        <family val="2"/>
      </rPr>
      <t xml:space="preserve">충남 태안군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전남 완도군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강원 인제군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경북 울릉군 — 계절적 수요 뚜렷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공급 부재</t>
    </r>
  </si>
  <si>
    <r>
      <rPr>
        <sz val="10"/>
        <rFont val="DejaVu Sans"/>
        <family val="2"/>
      </rPr>
      <t xml:space="preserve">• 성수기</t>
    </r>
    <r>
      <rPr>
        <sz val="10"/>
        <rFont val="DejaVu Sans"/>
        <family val="2"/>
        <charset val="1"/>
      </rPr>
      <t xml:space="preserve">(7~8</t>
    </r>
    <r>
      <rPr>
        <sz val="10"/>
        <rFont val="DejaVu Sans"/>
        <family val="2"/>
      </rPr>
      <t xml:space="preserve">월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대비 비수기</t>
    </r>
    <r>
      <rPr>
        <sz val="10"/>
        <rFont val="DejaVu Sans"/>
        <family val="2"/>
        <charset val="1"/>
      </rPr>
      <t xml:space="preserve">(12~2</t>
    </r>
    <r>
      <rPr>
        <sz val="10"/>
        <rFont val="DejaVu Sans"/>
        <family val="2"/>
      </rPr>
      <t xml:space="preserve">월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관광객 수 약 </t>
    </r>
    <r>
      <rPr>
        <sz val="10"/>
        <rFont val="DejaVu Sans"/>
        <family val="2"/>
        <charset val="1"/>
      </rPr>
      <t xml:space="preserve">3~5</t>
    </r>
    <r>
      <rPr>
        <sz val="10"/>
        <rFont val="DejaVu Sans"/>
        <family val="2"/>
      </rPr>
      <t xml:space="preserve">배 차이 → 비수기 상주인구 기반 수요가 손익분기점 확보의 핵심</t>
    </r>
  </si>
  <si>
    <r>
      <rPr>
        <sz val="10"/>
        <rFont val="DejaVu Sans"/>
        <family val="2"/>
      </rPr>
      <t xml:space="preserve">• 배달의민족 로드러너 시스템 도입으로 읍면 지역 배달 거리 </t>
    </r>
    <r>
      <rPr>
        <sz val="10"/>
        <rFont val="DejaVu Sans"/>
        <family val="2"/>
        <charset val="1"/>
      </rPr>
      <t xml:space="preserve">4km </t>
    </r>
    <r>
      <rPr>
        <sz val="10"/>
        <rFont val="DejaVu Sans"/>
        <family val="2"/>
      </rPr>
      <t xml:space="preserve">제한 → 읍면 사각지대 확대 추세</t>
    </r>
  </si>
  <si>
    <t xml:space="preserve">후보 지역 종합 평가표</t>
  </si>
  <si>
    <t xml:space="preserve">등급</t>
  </si>
  <si>
    <t xml:space="preserve">시도</t>
  </si>
  <si>
    <t xml:space="preserve">시군</t>
  </si>
  <si>
    <r>
      <rPr>
        <b val="true"/>
        <sz val="11"/>
        <color rgb="FFFFFFFF"/>
        <rFont val="DejaVu Sans"/>
        <family val="2"/>
      </rPr>
      <t xml:space="preserve">상주인구
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</si>
  <si>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인구감소
지역여부</t>
  </si>
  <si>
    <r>
      <rPr>
        <b val="true"/>
        <sz val="11"/>
        <color rgb="FFFFFFFF"/>
        <rFont val="DejaVu Sans"/>
        <family val="2"/>
      </rPr>
      <t xml:space="preserve">연간관광객
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</si>
  <si>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관광객</t>
    </r>
    <r>
      <rPr>
        <b val="true"/>
        <sz val="11"/>
        <color rgb="FFFFFFFF"/>
        <rFont val="DejaVu Sans"/>
        <family val="2"/>
        <charset val="1"/>
      </rPr>
      <t xml:space="preserve">/
</t>
    </r>
    <r>
      <rPr>
        <b val="true"/>
        <sz val="11"/>
        <color rgb="FFFFFFFF"/>
        <rFont val="DejaVu Sans"/>
        <family val="2"/>
      </rPr>
      <t xml:space="preserve">인구비율</t>
    </r>
  </si>
  <si>
    <r>
      <rPr>
        <b val="true"/>
        <sz val="11"/>
        <color rgb="FFFFFFFF"/>
        <rFont val="DejaVu Sans"/>
        <family val="2"/>
      </rPr>
      <t xml:space="preserve">성수기
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월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</si>
  <si>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음식점수
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추정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</si>
  <si>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배달앱
커버리지</t>
  </si>
  <si>
    <t xml:space="preserve">공공배달앱
운영여부</t>
  </si>
  <si>
    <r>
      <rPr>
        <b val="true"/>
        <sz val="11"/>
        <color rgb="FFFFFFFF"/>
        <rFont val="DejaVu Sans"/>
        <family val="2"/>
      </rPr>
      <t xml:space="preserve">종합점수
</t>
    </r>
    <r>
      <rPr>
        <b val="true"/>
        <sz val="11"/>
        <color rgb="FFFFFFFF"/>
        <rFont val="DejaVu Sans"/>
        <family val="2"/>
        <charset val="1"/>
      </rPr>
      <t xml:space="preserve">(100</t>
    </r>
    <r>
      <rPr>
        <b val="true"/>
        <sz val="11"/>
        <color rgb="FFFFFFFF"/>
        <rFont val="DejaVu Sans"/>
        <family val="2"/>
      </rPr>
      <t xml:space="preserve">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</si>
  <si>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우선순위</t>
  </si>
  <si>
    <t xml:space="preserve">비고</t>
  </si>
  <si>
    <t xml:space="preserve">S</t>
  </si>
  <si>
    <t xml:space="preserve">강원</t>
  </si>
  <si>
    <t xml:space="preserve">양양군</t>
  </si>
  <si>
    <t xml:space="preserve">O</t>
  </si>
  <si>
    <r>
      <rPr>
        <sz val="10"/>
        <rFont val="Arial"/>
        <family val="0"/>
        <charset val="1"/>
      </rPr>
      <t xml:space="preserve">6~8</t>
    </r>
    <r>
      <rPr>
        <sz val="10"/>
        <rFont val="DejaVu Sans"/>
        <family val="2"/>
      </rPr>
      <t xml:space="preserve">월</t>
    </r>
  </si>
  <si>
    <t xml:space="preserve">매우 부족</t>
  </si>
  <si>
    <t xml:space="preserve">X</t>
  </si>
  <si>
    <r>
      <rPr>
        <sz val="10"/>
        <rFont val="DejaVu Sans"/>
        <family val="2"/>
      </rPr>
      <t xml:space="preserve">서핑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해변 관광 폭발적 성장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읍면 전역 배달 사각</t>
    </r>
  </si>
  <si>
    <t xml:space="preserve">고성군</t>
  </si>
  <si>
    <r>
      <rPr>
        <sz val="10"/>
        <rFont val="Arial"/>
        <family val="0"/>
        <charset val="1"/>
      </rPr>
      <t xml:space="preserve">7~8</t>
    </r>
    <r>
      <rPr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</si>
  <si>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속초 인접이나 자체 배달 인프라 전무</t>
    </r>
    <r>
      <rPr>
        <sz val="10"/>
        <rFont val="DejaVu Sans"/>
        <family val="2"/>
        <charset val="1"/>
      </rPr>
      <t xml:space="preserve">, DMZ </t>
    </r>
    <r>
      <rPr>
        <sz val="10"/>
        <rFont val="DejaVu Sans"/>
        <family val="2"/>
      </rPr>
      <t xml:space="preserve">관광</t>
    </r>
  </si>
  <si>
    <t xml:space="preserve">경남</t>
  </si>
  <si>
    <t xml:space="preserve">남해군</t>
  </si>
  <si>
    <r>
      <rPr>
        <sz val="10"/>
        <rFont val="Arial"/>
        <family val="0"/>
        <charset val="1"/>
      </rPr>
      <t xml:space="preserve">5~9</t>
    </r>
    <r>
      <rPr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</si>
  <si>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독일마을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다랭이마을 등 관광자원 풍부</t>
    </r>
  </si>
  <si>
    <t xml:space="preserve">A</t>
  </si>
  <si>
    <t xml:space="preserve">충남</t>
  </si>
  <si>
    <t xml:space="preserve">태안군</t>
  </si>
  <si>
    <t xml:space="preserve">부족</t>
  </si>
  <si>
    <r>
      <rPr>
        <sz val="10"/>
        <rFont val="DejaVu Sans"/>
        <family val="2"/>
      </rPr>
      <t xml:space="preserve">만리포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꽃지 해수욕장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여름 성수기 집중</t>
    </r>
  </si>
  <si>
    <t xml:space="preserve">전남</t>
  </si>
  <si>
    <t xml:space="preserve">완도군</t>
  </si>
  <si>
    <r>
      <rPr>
        <sz val="10"/>
        <rFont val="Arial"/>
        <family val="0"/>
        <charset val="1"/>
      </rPr>
      <t xml:space="preserve">7~9</t>
    </r>
    <r>
      <rPr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</si>
  <si>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보길도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청산도 관광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섬 지역 배달 전무</t>
    </r>
  </si>
  <si>
    <t xml:space="preserve">인제군</t>
  </si>
  <si>
    <r>
      <rPr>
        <sz val="10"/>
        <rFont val="DejaVu Sans"/>
        <family val="2"/>
      </rPr>
      <t xml:space="preserve">내설악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자작나무숲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동계 스키 수요</t>
    </r>
  </si>
  <si>
    <t xml:space="preserve">경북</t>
  </si>
  <si>
    <t xml:space="preserve">울릉군</t>
  </si>
  <si>
    <r>
      <rPr>
        <sz val="10"/>
        <rFont val="Arial"/>
        <family val="0"/>
        <charset val="1"/>
      </rPr>
      <t xml:space="preserve">6~9</t>
    </r>
    <r>
      <rPr>
        <sz val="10"/>
        <rFont val="DejaVu Sans"/>
        <family val="2"/>
      </rPr>
      <t xml:space="preserve">월</t>
    </r>
  </si>
  <si>
    <t xml:space="preserve">전무</t>
  </si>
  <si>
    <t xml:space="preserve">섬 지역 배달 서비스 완전 공백</t>
  </si>
  <si>
    <t xml:space="preserve">B</t>
  </si>
  <si>
    <t xml:space="preserve">보령시</t>
  </si>
  <si>
    <t xml:space="preserve">종료</t>
  </si>
  <si>
    <r>
      <rPr>
        <sz val="10"/>
        <rFont val="DejaVu Sans"/>
        <family val="2"/>
      </rPr>
      <t xml:space="preserve">대천해수욕장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머드축제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여름 극성수기</t>
    </r>
  </si>
  <si>
    <t xml:space="preserve">해남군</t>
  </si>
  <si>
    <t xml:space="preserve">연중</t>
  </si>
  <si>
    <r>
      <rPr>
        <sz val="10"/>
        <rFont val="DejaVu Sans"/>
        <family val="2"/>
      </rPr>
      <t xml:space="preserve">땅끝마을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두륜산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사계절 분산형</t>
    </r>
  </si>
  <si>
    <t xml:space="preserve">통영시</t>
  </si>
  <si>
    <r>
      <rPr>
        <sz val="10"/>
        <rFont val="Arial"/>
        <family val="0"/>
        <charset val="1"/>
      </rPr>
      <t xml:space="preserve">5~10</t>
    </r>
    <r>
      <rPr>
        <sz val="10"/>
        <rFont val="DejaVu Sans"/>
        <family val="2"/>
      </rPr>
      <t xml:space="preserve">월</t>
    </r>
  </si>
  <si>
    <t xml:space="preserve">일부 가능</t>
  </si>
  <si>
    <r>
      <rPr>
        <sz val="10"/>
        <rFont val="DejaVu Sans"/>
        <family val="2"/>
      </rPr>
      <t xml:space="preserve">한려수도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미륵산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인구 대비 관광객 매우 높음</t>
    </r>
  </si>
  <si>
    <t xml:space="preserve">평창군</t>
  </si>
  <si>
    <r>
      <rPr>
        <sz val="10"/>
        <rFont val="Arial"/>
        <family val="0"/>
        <charset val="1"/>
      </rPr>
      <t xml:space="preserve">7~8,12~2</t>
    </r>
    <r>
      <rPr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</si>
  <si>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동계올림픽 인프라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여름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겨울 이중 성수기</t>
    </r>
  </si>
  <si>
    <t xml:space="preserve">경주시</t>
  </si>
  <si>
    <r>
      <rPr>
        <sz val="10"/>
        <rFont val="Arial"/>
        <family val="0"/>
        <charset val="1"/>
      </rPr>
      <t xml:space="preserve">4~5,9~10</t>
    </r>
    <r>
      <rPr>
        <sz val="10"/>
        <rFont val="DejaVu Sans"/>
        <family val="2"/>
      </rPr>
      <t xml:space="preserve">월</t>
    </r>
  </si>
  <si>
    <t xml:space="preserve">시내는 배달 가능하나 외곽읍면 사각지대</t>
  </si>
  <si>
    <t xml:space="preserve">C</t>
  </si>
  <si>
    <t xml:space="preserve">진도군</t>
  </si>
  <si>
    <r>
      <rPr>
        <sz val="10"/>
        <rFont val="Arial"/>
        <family val="0"/>
        <charset val="1"/>
      </rPr>
      <t xml:space="preserve">3~5</t>
    </r>
    <r>
      <rPr>
        <sz val="10"/>
        <rFont val="DejaVu Sans"/>
        <family val="2"/>
      </rPr>
      <t xml:space="preserve">월</t>
    </r>
  </si>
  <si>
    <t xml:space="preserve">신비의 바닷길 축제 시즌 집중</t>
  </si>
  <si>
    <t xml:space="preserve">속초시</t>
  </si>
  <si>
    <t xml:space="preserve">부분 가능</t>
  </si>
  <si>
    <r>
      <rPr>
        <sz val="10"/>
        <rFont val="DejaVu Sans"/>
        <family val="2"/>
      </rPr>
      <t xml:space="preserve">시내 커버리지 있으나 외곽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설악 권역 부족</t>
    </r>
  </si>
  <si>
    <t xml:space="preserve">여수시</t>
  </si>
  <si>
    <r>
      <rPr>
        <sz val="10"/>
        <rFont val="DejaVu Sans"/>
        <family val="2"/>
      </rPr>
      <t xml:space="preserve">시내 배달 가능하나 돌산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화양 등 외곽 사각</t>
    </r>
  </si>
  <si>
    <r>
      <rPr>
        <i val="true"/>
        <sz val="9"/>
        <color rgb="FF666666"/>
        <rFont val="DejaVu Sans"/>
        <family val="2"/>
      </rPr>
      <t xml:space="preserve">※ 데이터 출처</t>
    </r>
    <r>
      <rPr>
        <i val="true"/>
        <sz val="9"/>
        <color rgb="FF666666"/>
        <rFont val="DejaVu Sans"/>
        <family val="2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행정안전부 주민등록인구통계</t>
    </r>
    <r>
      <rPr>
        <i val="true"/>
        <sz val="9"/>
        <color rgb="FF666666"/>
        <rFont val="DejaVu Sans"/>
        <family val="2"/>
        <charset val="1"/>
      </rPr>
      <t xml:space="preserve">(2024.12), </t>
    </r>
    <r>
      <rPr>
        <i val="true"/>
        <sz val="9"/>
        <color rgb="FF666666"/>
        <rFont val="DejaVu Sans"/>
        <family val="2"/>
      </rPr>
      <t xml:space="preserve">한국관광데이터랩</t>
    </r>
    <r>
      <rPr>
        <i val="true"/>
        <sz val="9"/>
        <color rgb="FF666666"/>
        <rFont val="DejaVu Sans"/>
        <family val="2"/>
        <charset val="1"/>
      </rPr>
      <t xml:space="preserve">(2024), </t>
    </r>
    <r>
      <rPr>
        <i val="true"/>
        <sz val="9"/>
        <color rgb="FF666666"/>
        <rFont val="DejaVu Sans"/>
        <family val="2"/>
      </rPr>
      <t xml:space="preserve">관광지식정보시스템</t>
    </r>
    <r>
      <rPr>
        <i val="true"/>
        <sz val="9"/>
        <color rgb="FF666666"/>
        <rFont val="DejaVu Sans"/>
        <family val="2"/>
        <charset val="1"/>
      </rPr>
      <t xml:space="preserve">(2024), </t>
    </r>
    <r>
      <rPr>
        <i val="true"/>
        <sz val="9"/>
        <color rgb="FF666666"/>
        <rFont val="DejaVu Sans"/>
        <family val="2"/>
      </rPr>
      <t xml:space="preserve">각 지자체 통계연보</t>
    </r>
    <r>
      <rPr>
        <i val="true"/>
        <sz val="9"/>
        <color rgb="FF666666"/>
        <rFont val="DejaVu Sans"/>
        <family val="2"/>
        <charset val="1"/>
      </rPr>
      <t xml:space="preserve">. </t>
    </r>
    <r>
      <rPr>
        <i val="true"/>
        <sz val="9"/>
        <color rgb="FF666666"/>
        <rFont val="DejaVu Sans"/>
        <family val="2"/>
      </rPr>
      <t xml:space="preserve">관광객 수는 이동통신 빅데이터 기반 추정치</t>
    </r>
    <r>
      <rPr>
        <i val="true"/>
        <sz val="9"/>
        <color rgb="FF666666"/>
        <rFont val="DejaVu Sans"/>
        <family val="2"/>
        <charset val="1"/>
      </rPr>
      <t xml:space="preserve">.</t>
    </r>
  </si>
  <si>
    <r>
      <rPr>
        <b val="true"/>
        <sz val="14"/>
        <color rgb="FF1F4E79"/>
        <rFont val="DejaVu Sans"/>
        <family val="2"/>
      </rPr>
      <t xml:space="preserve">주요 후보 지역 월별 관광 수요 지수 </t>
    </r>
    <r>
      <rPr>
        <b val="true"/>
        <sz val="14"/>
        <color rgb="FF1F4E79"/>
        <rFont val="DejaVu Sans"/>
        <family val="2"/>
        <charset val="1"/>
      </rPr>
      <t xml:space="preserve">(1~12</t>
    </r>
    <r>
      <rPr>
        <b val="true"/>
        <sz val="14"/>
        <color rgb="FF1F4E79"/>
        <rFont val="DejaVu Sans"/>
        <family val="2"/>
      </rPr>
      <t xml:space="preserve">월</t>
    </r>
    <r>
      <rPr>
        <b val="true"/>
        <sz val="14"/>
        <color rgb="FF1F4E79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</si>
  <si>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</si>
  <si>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</si>
  <si>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</si>
  <si>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</si>
  <si>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</si>
  <si>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</si>
  <si>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</si>
  <si>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8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</si>
  <si>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9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</si>
  <si>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10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</si>
  <si>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11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</si>
  <si>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DejaVu Sans"/>
        <family val="2"/>
      </rPr>
      <t xml:space="preserve">월</t>
    </r>
  </si>
  <si>
    <t xml:space="preserve">성수기집중도</t>
  </si>
  <si>
    <r>
      <rPr>
        <sz val="10"/>
        <rFont val="DejaVu Sans"/>
        <family val="2"/>
      </rPr>
      <t xml:space="preserve">한경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한림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현재</t>
    </r>
    <r>
      <rPr>
        <sz val="10"/>
        <rFont val="DejaVu Sans"/>
        <family val="2"/>
        <charset val="1"/>
      </rPr>
      <t xml:space="preserve">)</t>
    </r>
  </si>
  <si>
    <t xml:space="preserve">분석 해석</t>
  </si>
  <si>
    <r>
      <rPr>
        <sz val="10"/>
        <rFont val="DejaVu Sans"/>
        <family val="2"/>
      </rPr>
      <t xml:space="preserve">• 성수기 집중도가 높을수록</t>
    </r>
    <r>
      <rPr>
        <sz val="10"/>
        <rFont val="DejaVu Sans"/>
        <family val="2"/>
        <charset val="1"/>
      </rPr>
      <t xml:space="preserve">(2.0 </t>
    </r>
    <r>
      <rPr>
        <sz val="10"/>
        <rFont val="DejaVu Sans"/>
        <family val="2"/>
      </rPr>
      <t xml:space="preserve">이상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비수기 매출 리스크가 큼 → 상주인구 기반 수요가 중요</t>
    </r>
  </si>
  <si>
    <r>
      <rPr>
        <sz val="10"/>
        <rFont val="DejaVu Sans"/>
        <family val="2"/>
      </rPr>
      <t xml:space="preserve">• 평창군은 겨울 스키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여름 피서 이중 성수기로 집중도가 상대적으로 낮아 유리</t>
    </r>
  </si>
  <si>
    <r>
      <rPr>
        <sz val="10"/>
        <rFont val="DejaVu Sans"/>
        <family val="2"/>
      </rPr>
      <t xml:space="preserve">• 남해군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완도군은 봄</t>
    </r>
    <r>
      <rPr>
        <sz val="10"/>
        <rFont val="DejaVu Sans"/>
        <family val="2"/>
        <charset val="1"/>
      </rPr>
      <t xml:space="preserve">~</t>
    </r>
    <r>
      <rPr>
        <sz val="10"/>
        <rFont val="DejaVu Sans"/>
        <family val="2"/>
      </rPr>
      <t xml:space="preserve">가을까지 넓은 성수기를 보유하여 수익 안정성이 높음</t>
    </r>
  </si>
  <si>
    <r>
      <rPr>
        <sz val="10"/>
        <rFont val="DejaVu Sans"/>
        <family val="2"/>
      </rPr>
      <t xml:space="preserve">• 울릉군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태안군은 여름 극성수기 집중 → 비수기 상주민 대상 서비스로 보완 필요</t>
    </r>
  </si>
  <si>
    <r>
      <rPr>
        <sz val="10"/>
        <rFont val="DejaVu Sans"/>
        <family val="2"/>
      </rPr>
      <t xml:space="preserve">• 현재 운영 중인 한경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한림 대비 대부분 후보 지역이 유사하거나 더 높은 성수기 집중도를 보임</t>
    </r>
  </si>
  <si>
    <t xml:space="preserve">주요 배달 플랫폼 커버리지 현황 분석</t>
  </si>
  <si>
    <t xml:space="preserve">배달의민족</t>
  </si>
  <si>
    <t xml:space="preserve">쿠팡이츠</t>
  </si>
  <si>
    <t xml:space="preserve">요기요</t>
  </si>
  <si>
    <t xml:space="preserve">공공배달앱</t>
  </si>
  <si>
    <t xml:space="preserve">배달대행사
유무</t>
  </si>
  <si>
    <t xml:space="preserve">라이더 수급
난이도</t>
  </si>
  <si>
    <r>
      <rPr>
        <b val="true"/>
        <sz val="11"/>
        <color rgb="FFFFFFFF"/>
        <rFont val="DejaVu Sans"/>
        <family val="2"/>
      </rPr>
      <t xml:space="preserve">배달가능
반경</t>
    </r>
    <r>
      <rPr>
        <b val="true"/>
        <sz val="11"/>
        <color rgb="FFFFFFFF"/>
        <rFont val="DejaVu Sans"/>
        <family val="2"/>
        <charset val="1"/>
      </rPr>
      <t xml:space="preserve">(km)</t>
    </r>
  </si>
  <si>
    <r>
      <rPr>
        <b val="true"/>
        <sz val="11"/>
        <color rgb="FFFFFFFF"/>
        <rFont val="DejaVu Sans"/>
        <family val="2"/>
      </rPr>
      <t xml:space="preserve">사각지대
비율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추정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</si>
  <si>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읍내 일부만</t>
  </si>
  <si>
    <r>
      <rPr>
        <sz val="10"/>
        <rFont val="Arial"/>
        <family val="0"/>
        <charset val="1"/>
      </rPr>
      <t xml:space="preserve">1~2</t>
    </r>
    <r>
      <rPr>
        <sz val="10"/>
        <rFont val="DejaVu Sans"/>
        <family val="2"/>
      </rPr>
      <t xml:space="preserve">개</t>
    </r>
  </si>
  <si>
    <t xml:space="preserve">매우 어려움</t>
  </si>
  <si>
    <t xml:space="preserve">3~4</t>
  </si>
  <si>
    <t xml:space="preserve">80%</t>
  </si>
  <si>
    <t xml:space="preserve">거의 없음</t>
  </si>
  <si>
    <t xml:space="preserve">없음</t>
  </si>
  <si>
    <t xml:space="preserve">극히 어려움</t>
  </si>
  <si>
    <t xml:space="preserve">-</t>
  </si>
  <si>
    <t xml:space="preserve">95%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</si>
  <si>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</si>
  <si>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3</t>
  </si>
  <si>
    <t xml:space="preserve">85%</t>
  </si>
  <si>
    <t xml:space="preserve">어려움</t>
  </si>
  <si>
    <t xml:space="preserve">75%</t>
  </si>
  <si>
    <t xml:space="preserve">90%</t>
  </si>
  <si>
    <t xml:space="preserve">불가능</t>
  </si>
  <si>
    <t xml:space="preserve">100%</t>
  </si>
  <si>
    <t xml:space="preserve">시내 가능</t>
  </si>
  <si>
    <t xml:space="preserve">시내 일부</t>
  </si>
  <si>
    <r>
      <rPr>
        <sz val="10"/>
        <rFont val="Arial"/>
        <family val="0"/>
        <charset val="1"/>
      </rPr>
      <t xml:space="preserve">2~3</t>
    </r>
    <r>
      <rPr>
        <sz val="10"/>
        <rFont val="DejaVu Sans"/>
        <family val="2"/>
      </rPr>
      <t xml:space="preserve">개</t>
    </r>
  </si>
  <si>
    <t xml:space="preserve">4</t>
  </si>
  <si>
    <t xml:space="preserve">55%</t>
  </si>
  <si>
    <t xml:space="preserve">일부</t>
  </si>
  <si>
    <r>
      <rPr>
        <sz val="10"/>
        <rFont val="Arial"/>
        <family val="0"/>
        <charset val="1"/>
      </rPr>
      <t xml:space="preserve">3~5</t>
    </r>
    <r>
      <rPr>
        <sz val="10"/>
        <rFont val="DejaVu Sans"/>
        <family val="2"/>
      </rPr>
      <t xml:space="preserve">개</t>
    </r>
  </si>
  <si>
    <t xml:space="preserve">보통</t>
  </si>
  <si>
    <t xml:space="preserve">4~5</t>
  </si>
  <si>
    <t xml:space="preserve">40%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</si>
  <si>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이상</t>
    </r>
  </si>
  <si>
    <t xml:space="preserve">35%</t>
  </si>
  <si>
    <r>
      <rPr>
        <sz val="10"/>
        <rFont val="DejaVu Sans"/>
        <family val="2"/>
      </rPr>
      <t xml:space="preserve">보통</t>
    </r>
    <r>
      <rPr>
        <sz val="10"/>
        <rFont val="DejaVu Sans"/>
        <family val="2"/>
        <charset val="1"/>
      </rPr>
      <t xml:space="preserve">~</t>
    </r>
    <r>
      <rPr>
        <sz val="10"/>
        <rFont val="DejaVu Sans"/>
        <family val="2"/>
      </rPr>
      <t xml:space="preserve">어려움</t>
    </r>
  </si>
  <si>
    <r>
      <rPr>
        <sz val="10"/>
        <rFont val="Arial"/>
        <family val="0"/>
        <charset val="1"/>
      </rPr>
      <t xml:space="preserve">HKD </t>
    </r>
    <r>
      <rPr>
        <sz val="10"/>
        <rFont val="DejaVu Sans"/>
        <family val="2"/>
      </rPr>
      <t xml:space="preserve">운영</t>
    </r>
  </si>
  <si>
    <t xml:space="preserve">5(HKD)</t>
  </si>
  <si>
    <r>
      <rPr>
        <sz val="10"/>
        <rFont val="Arial"/>
        <family val="0"/>
        <charset val="1"/>
      </rPr>
      <t xml:space="preserve">20%(HKD</t>
    </r>
    <r>
      <rPr>
        <sz val="10"/>
        <rFont val="DejaVu Sans"/>
        <family val="2"/>
      </rPr>
      <t xml:space="preserve">적용</t>
    </r>
    <r>
      <rPr>
        <sz val="10"/>
        <rFont val="Arial"/>
        <family val="0"/>
        <charset val="1"/>
      </rPr>
      <t xml:space="preserve">)</t>
    </r>
  </si>
  <si>
    <t xml:space="preserve">주요 시사점</t>
  </si>
  <si>
    <r>
      <rPr>
        <sz val="10"/>
        <rFont val="DejaVu Sans"/>
        <family val="2"/>
      </rPr>
      <t xml:space="preserve">• 배달의민족은 </t>
    </r>
    <r>
      <rPr>
        <sz val="10"/>
        <rFont val="DejaVu Sans"/>
        <family val="2"/>
        <charset val="1"/>
      </rPr>
      <t xml:space="preserve">2024</t>
    </r>
    <r>
      <rPr>
        <sz val="10"/>
        <rFont val="DejaVu Sans"/>
        <family val="2"/>
      </rPr>
      <t xml:space="preserve">년 울트라콜 종료 후 오픈리스트 전환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읍면 지역 배달 가능 거리 </t>
    </r>
    <r>
      <rPr>
        <sz val="10"/>
        <rFont val="DejaVu Sans"/>
        <family val="2"/>
        <charset val="1"/>
      </rPr>
      <t xml:space="preserve">4km</t>
    </r>
    <r>
      <rPr>
        <sz val="10"/>
        <rFont val="DejaVu Sans"/>
        <family val="2"/>
      </rPr>
      <t xml:space="preserve">로 축소</t>
    </r>
  </si>
  <si>
    <r>
      <rPr>
        <sz val="10"/>
        <rFont val="DejaVu Sans"/>
        <family val="2"/>
      </rPr>
      <t xml:space="preserve">• 로드러너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시프트 기반 배차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도입으로 읍면 지역 라이더 배차 더욱 어려워지는 추세</t>
    </r>
  </si>
  <si>
    <r>
      <rPr>
        <sz val="10"/>
        <rFont val="DejaVu Sans"/>
        <family val="2"/>
      </rPr>
      <t xml:space="preserve">• 쿠팡이츠는 수도권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광역시 중심으로만 운영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군 단위 지역은 거의 서비스 불가</t>
    </r>
  </si>
  <si>
    <r>
      <rPr>
        <sz val="10"/>
        <rFont val="DejaVu Sans"/>
        <family val="2"/>
      </rPr>
      <t xml:space="preserve">• 공공배달앱 </t>
    </r>
    <r>
      <rPr>
        <sz val="10"/>
        <rFont val="DejaVu Sans"/>
        <family val="2"/>
        <charset val="1"/>
      </rPr>
      <t xml:space="preserve">31</t>
    </r>
    <r>
      <rPr>
        <sz val="10"/>
        <rFont val="DejaVu Sans"/>
        <family val="2"/>
      </rPr>
      <t xml:space="preserve">개 → </t>
    </r>
    <r>
      <rPr>
        <sz val="10"/>
        <rFont val="DejaVu Sans"/>
        <family val="2"/>
        <charset val="1"/>
      </rPr>
      <t xml:space="preserve">15</t>
    </r>
    <r>
      <rPr>
        <sz val="10"/>
        <rFont val="DejaVu Sans"/>
        <family val="2"/>
      </rPr>
      <t xml:space="preserve">개 미만으로 축소</t>
    </r>
    <r>
      <rPr>
        <sz val="10"/>
        <rFont val="DejaVu Sans"/>
        <family val="2"/>
        <charset val="1"/>
      </rPr>
      <t xml:space="preserve">(2024), </t>
    </r>
    <r>
      <rPr>
        <sz val="10"/>
        <rFont val="DejaVu Sans"/>
        <family val="2"/>
      </rPr>
      <t xml:space="preserve">지자체 재정 부담으로 지속 축소 전망</t>
    </r>
  </si>
  <si>
    <r>
      <rPr>
        <sz val="10"/>
        <rFont val="DejaVu Sans"/>
        <family val="2"/>
      </rPr>
      <t xml:space="preserve">• 사각지대 비율 </t>
    </r>
    <r>
      <rPr>
        <sz val="10"/>
        <rFont val="DejaVu Sans"/>
        <family val="2"/>
        <charset val="1"/>
      </rPr>
      <t xml:space="preserve">80% </t>
    </r>
    <r>
      <rPr>
        <sz val="10"/>
        <rFont val="DejaVu Sans"/>
        <family val="2"/>
      </rPr>
      <t xml:space="preserve">이상인 지역이 </t>
    </r>
    <r>
      <rPr>
        <sz val="10"/>
        <rFont val="DejaVu Sans"/>
        <family val="2"/>
        <charset val="1"/>
      </rPr>
      <t xml:space="preserve">HKD </t>
    </r>
    <r>
      <rPr>
        <sz val="10"/>
        <rFont val="DejaVu Sans"/>
        <family val="2"/>
      </rPr>
      <t xml:space="preserve">모델의 핵심 타겟 시장</t>
    </r>
  </si>
  <si>
    <t xml:space="preserve">타겟 지역별 배달 수요 추정 및 양적 한계 분석</t>
  </si>
  <si>
    <r>
      <rPr>
        <i val="true"/>
        <sz val="9"/>
        <color rgb="FF666666"/>
        <rFont val="DejaVu Sans"/>
        <family val="2"/>
      </rPr>
      <t xml:space="preserve">※ 추정 방법</t>
    </r>
    <r>
      <rPr>
        <i val="true"/>
        <sz val="9"/>
        <color rgb="FF666666"/>
        <rFont val="DejaVu Sans"/>
        <family val="2"/>
        <charset val="1"/>
      </rPr>
      <t xml:space="preserve">: (</t>
    </r>
    <r>
      <rPr>
        <i val="true"/>
        <sz val="9"/>
        <color rgb="FF666666"/>
        <rFont val="DejaVu Sans"/>
        <family val="2"/>
      </rPr>
      <t xml:space="preserve">상주인구 이용률 </t>
    </r>
    <r>
      <rPr>
        <i val="true"/>
        <sz val="9"/>
        <color rgb="FF666666"/>
        <rFont val="DejaVu Sans"/>
        <family val="2"/>
        <charset val="1"/>
      </rPr>
      <t xml:space="preserve">× </t>
    </r>
    <r>
      <rPr>
        <i val="true"/>
        <sz val="9"/>
        <color rgb="FF666666"/>
        <rFont val="DejaVu Sans"/>
        <family val="2"/>
      </rPr>
      <t xml:space="preserve">주문빈도 </t>
    </r>
    <r>
      <rPr>
        <i val="true"/>
        <sz val="9"/>
        <color rgb="FF666666"/>
        <rFont val="DejaVu Sans"/>
        <family val="2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관광객</t>
    </r>
    <r>
      <rPr>
        <i val="true"/>
        <sz val="9"/>
        <color rgb="FF666666"/>
        <rFont val="DejaVu Sans"/>
        <family val="2"/>
        <charset val="1"/>
      </rPr>
      <t xml:space="preserve">/</t>
    </r>
    <r>
      <rPr>
        <i val="true"/>
        <sz val="9"/>
        <color rgb="FF666666"/>
        <rFont val="DejaVu Sans"/>
        <family val="2"/>
      </rPr>
      <t xml:space="preserve">일 </t>
    </r>
    <r>
      <rPr>
        <i val="true"/>
        <sz val="9"/>
        <color rgb="FF666666"/>
        <rFont val="DejaVu Sans"/>
        <family val="2"/>
        <charset val="1"/>
      </rPr>
      <t xml:space="preserve">× </t>
    </r>
    <r>
      <rPr>
        <i val="true"/>
        <sz val="9"/>
        <color rgb="FF666666"/>
        <rFont val="DejaVu Sans"/>
        <family val="2"/>
      </rPr>
      <t xml:space="preserve">이용률</t>
    </r>
    <r>
      <rPr>
        <i val="true"/>
        <sz val="9"/>
        <color rgb="FF666666"/>
        <rFont val="DejaVu Sans"/>
        <family val="2"/>
        <charset val="1"/>
      </rPr>
      <t xml:space="preserve">) × </t>
    </r>
    <r>
      <rPr>
        <i val="true"/>
        <sz val="9"/>
        <color rgb="FF666666"/>
        <rFont val="DejaVu Sans"/>
        <family val="2"/>
      </rPr>
      <t xml:space="preserve">평균배달비 </t>
    </r>
    <r>
      <rPr>
        <i val="true"/>
        <sz val="9"/>
        <color rgb="FF666666"/>
        <rFont val="DejaVu Sans"/>
        <family val="2"/>
        <charset val="1"/>
      </rPr>
      <t xml:space="preserve">× </t>
    </r>
    <r>
      <rPr>
        <i val="true"/>
        <sz val="9"/>
        <color rgb="FF666666"/>
        <rFont val="DejaVu Sans"/>
        <family val="2"/>
      </rPr>
      <t xml:space="preserve">플랫폼수수료율</t>
    </r>
    <r>
      <rPr>
        <i val="true"/>
        <sz val="9"/>
        <color rgb="FF666666"/>
        <rFont val="DejaVu Sans"/>
        <family val="2"/>
        <charset val="1"/>
      </rPr>
      <t xml:space="preserve">(10%)</t>
    </r>
  </si>
  <si>
    <r>
      <rPr>
        <b val="true"/>
        <sz val="11"/>
        <color rgb="FFFFFFFF"/>
        <rFont val="DejaVu Sans"/>
        <family val="2"/>
      </rPr>
      <t xml:space="preserve">상주인구
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</si>
  <si>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관광객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일
성수기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</si>
  <si>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관광객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일
비수기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</si>
  <si>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일평균주문
성수기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건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</si>
  <si>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일평균주문
비수기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건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</si>
  <si>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월매출추정
성수기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</si>
  <si>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월매출추정
비수기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</si>
  <si>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연매출추정
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</si>
  <si>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손익분기
일주문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건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</si>
  <si>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사업성
판단</t>
  </si>
  <si>
    <t xml:space="preserve">주요 가정</t>
  </si>
  <si>
    <t xml:space="preserve">가정 항목</t>
  </si>
  <si>
    <t xml:space="preserve">값</t>
  </si>
  <si>
    <t xml:space="preserve">근거</t>
  </si>
  <si>
    <r>
      <rPr>
        <sz val="10"/>
        <rFont val="DejaVu Sans"/>
        <family val="2"/>
      </rPr>
      <t xml:space="preserve">상주인구 배달 이용률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성수기</t>
    </r>
    <r>
      <rPr>
        <sz val="10"/>
        <rFont val="DejaVu Sans"/>
        <family val="2"/>
        <charset val="1"/>
      </rPr>
      <t xml:space="preserve">)</t>
    </r>
  </si>
  <si>
    <t xml:space="preserve">12%</t>
  </si>
  <si>
    <r>
      <rPr>
        <sz val="10"/>
        <rFont val="DejaVu Sans"/>
        <family val="2"/>
      </rPr>
      <t xml:space="preserve">농촌 지역 특성 반영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도시 평균 </t>
    </r>
    <r>
      <rPr>
        <sz val="10"/>
        <rFont val="DejaVu Sans"/>
        <family val="2"/>
        <charset val="1"/>
      </rPr>
      <t xml:space="preserve">25% </t>
    </r>
    <r>
      <rPr>
        <sz val="10"/>
        <rFont val="DejaVu Sans"/>
        <family val="2"/>
      </rPr>
      <t xml:space="preserve">대비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</si>
  <si>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상주인구 배달 이용률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비수기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</si>
  <si>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비수기 외부 활동 감소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배달 수요 소폭 변동</t>
    </r>
  </si>
  <si>
    <r>
      <rPr>
        <sz val="10"/>
        <rFont val="DejaVu Sans"/>
        <family val="2"/>
      </rPr>
      <t xml:space="preserve">상주민 월 주문빈도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성수기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</si>
  <si>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월 </t>
    </r>
    <r>
      <rPr>
        <sz val="10"/>
        <rFont val="DejaVu Sans"/>
        <family val="2"/>
        <charset val="1"/>
      </rPr>
      <t xml:space="preserve">9</t>
    </r>
    <r>
      <rPr>
        <sz val="10"/>
        <rFont val="DejaVu Sans"/>
        <family val="2"/>
      </rPr>
      <t xml:space="preserve">회 </t>
    </r>
    <r>
      <rPr>
        <sz val="10"/>
        <rFont val="DejaVu Sans"/>
        <family val="2"/>
        <charset val="1"/>
      </rPr>
      <t xml:space="preserve">(0.3/</t>
    </r>
    <r>
      <rPr>
        <sz val="10"/>
        <rFont val="DejaVu Sans"/>
        <family val="2"/>
      </rPr>
      <t xml:space="preserve">일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</si>
  <si>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한국 평균 월 </t>
    </r>
    <r>
      <rPr>
        <sz val="10"/>
        <rFont val="DejaVu Sans"/>
        <family val="2"/>
        <charset val="1"/>
      </rPr>
      <t xml:space="preserve">8~10</t>
    </r>
    <r>
      <rPr>
        <sz val="10"/>
        <rFont val="DejaVu Sans"/>
        <family val="2"/>
      </rPr>
      <t xml:space="preserve">회 배달 주문</t>
    </r>
  </si>
  <si>
    <r>
      <rPr>
        <sz val="10"/>
        <rFont val="DejaVu Sans"/>
        <family val="2"/>
      </rPr>
      <t xml:space="preserve">상주민 월 주문빈도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비수기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</si>
  <si>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월 </t>
    </r>
    <r>
      <rPr>
        <sz val="10"/>
        <rFont val="DejaVu Sans"/>
        <family val="2"/>
        <charset val="1"/>
      </rPr>
      <t xml:space="preserve">7.5</t>
    </r>
    <r>
      <rPr>
        <sz val="10"/>
        <rFont val="DejaVu Sans"/>
        <family val="2"/>
      </rPr>
      <t xml:space="preserve">회 </t>
    </r>
    <r>
      <rPr>
        <sz val="10"/>
        <rFont val="DejaVu Sans"/>
        <family val="2"/>
        <charset val="1"/>
      </rPr>
      <t xml:space="preserve">(0.25/</t>
    </r>
    <r>
      <rPr>
        <sz val="10"/>
        <rFont val="DejaVu Sans"/>
        <family val="2"/>
      </rPr>
      <t xml:space="preserve">일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</si>
  <si>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비수기 약 </t>
    </r>
    <r>
      <rPr>
        <sz val="10"/>
        <rFont val="DejaVu Sans"/>
        <family val="2"/>
        <charset val="1"/>
      </rPr>
      <t xml:space="preserve">20% </t>
    </r>
    <r>
      <rPr>
        <sz val="10"/>
        <rFont val="DejaVu Sans"/>
        <family val="2"/>
      </rPr>
      <t xml:space="preserve">감소</t>
    </r>
  </si>
  <si>
    <r>
      <rPr>
        <sz val="10"/>
        <rFont val="DejaVu Sans"/>
        <family val="2"/>
      </rPr>
      <t xml:space="preserve">관광객 배달 이용률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성수기</t>
    </r>
    <r>
      <rPr>
        <sz val="10"/>
        <rFont val="DejaVu Sans"/>
        <family val="2"/>
        <charset val="1"/>
      </rPr>
      <t xml:space="preserve">)</t>
    </r>
  </si>
  <si>
    <t xml:space="preserve">8%</t>
  </si>
  <si>
    <r>
      <rPr>
        <sz val="10"/>
        <rFont val="DejaVu Sans"/>
        <family val="2"/>
      </rPr>
      <t xml:space="preserve">숙소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펜션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에어비앤비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체류 관광객 중 배달 이용 비율</t>
    </r>
  </si>
  <si>
    <r>
      <rPr>
        <sz val="10"/>
        <rFont val="DejaVu Sans"/>
        <family val="2"/>
      </rPr>
      <t xml:space="preserve">관광객 배달 이용률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비수기</t>
    </r>
    <r>
      <rPr>
        <sz val="10"/>
        <rFont val="DejaVu Sans"/>
        <family val="2"/>
        <charset val="1"/>
      </rPr>
      <t xml:space="preserve">)</t>
    </r>
  </si>
  <si>
    <t xml:space="preserve">5%</t>
  </si>
  <si>
    <r>
      <rPr>
        <sz val="10"/>
        <rFont val="DejaVu Sans"/>
        <family val="2"/>
      </rPr>
      <t xml:space="preserve">비수기 관광객은 단체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당일 비율 높아 배달 수요 낮음</t>
    </r>
  </si>
  <si>
    <t xml:space="preserve">평균 배달비</t>
  </si>
  <si>
    <r>
      <rPr>
        <sz val="10"/>
        <rFont val="Arial"/>
        <family val="0"/>
        <charset val="1"/>
      </rPr>
      <t xml:space="preserve">4,000</t>
    </r>
    <r>
      <rPr>
        <sz val="10"/>
        <rFont val="DejaVu Sans"/>
        <family val="2"/>
      </rPr>
      <t xml:space="preserve">원</t>
    </r>
  </si>
  <si>
    <r>
      <rPr>
        <sz val="10"/>
        <rFont val="Arial"/>
        <family val="0"/>
        <charset val="1"/>
      </rPr>
      <t xml:space="preserve">HKD </t>
    </r>
    <r>
      <rPr>
        <sz val="10"/>
        <rFont val="DejaVu Sans"/>
        <family val="2"/>
      </rPr>
      <t xml:space="preserve">기본배달비 </t>
    </r>
    <r>
      <rPr>
        <sz val="10"/>
        <rFont val="Arial"/>
        <family val="0"/>
        <charset val="1"/>
      </rPr>
      <t xml:space="preserve">3,000</t>
    </r>
    <r>
      <rPr>
        <sz val="10"/>
        <rFont val="DejaVu Sans"/>
        <family val="2"/>
      </rPr>
      <t xml:space="preserve">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평균거리 추가요금 기준</t>
    </r>
  </si>
  <si>
    <r>
      <rPr>
        <sz val="10"/>
        <rFont val="DejaVu Sans"/>
        <family val="2"/>
      </rPr>
      <t xml:space="preserve">플랫폼 수수료율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배달비 대비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</si>
  <si>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HKD SettlementService </t>
    </r>
    <r>
      <rPr>
        <sz val="10"/>
        <rFont val="DejaVu Sans"/>
        <family val="2"/>
      </rPr>
      <t xml:space="preserve">기본 설정값 </t>
    </r>
    <r>
      <rPr>
        <sz val="10"/>
        <rFont val="Arial"/>
        <family val="0"/>
        <charset val="1"/>
      </rPr>
      <t xml:space="preserve">(serviceFeeRate: 0.10)</t>
    </r>
  </si>
  <si>
    <t xml:space="preserve">배달원 원천징수 세율</t>
  </si>
  <si>
    <t xml:space="preserve">3.3%</t>
  </si>
  <si>
    <r>
      <rPr>
        <sz val="10"/>
        <rFont val="Arial"/>
        <family val="0"/>
        <charset val="1"/>
      </rPr>
      <t xml:space="preserve">HKD SettlementService </t>
    </r>
    <r>
      <rPr>
        <sz val="10"/>
        <rFont val="DejaVu Sans"/>
        <family val="2"/>
      </rPr>
      <t xml:space="preserve">기본 설정값 </t>
    </r>
    <r>
      <rPr>
        <sz val="10"/>
        <rFont val="Arial"/>
        <family val="0"/>
        <charset val="1"/>
      </rPr>
      <t xml:space="preserve">(taxRate: 0.033)</t>
    </r>
  </si>
  <si>
    <t xml:space="preserve">수익 기반</t>
  </si>
  <si>
    <t xml:space="preserve">배달비</t>
  </si>
  <si>
    <r>
      <rPr>
        <sz val="10"/>
        <rFont val="DejaVu Sans"/>
        <family val="2"/>
      </rPr>
      <t xml:space="preserve">음식값은 가맹점에 전액 정산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플랫폼 수익은 배달비에서만 발생</t>
    </r>
  </si>
  <si>
    <t xml:space="preserve">수익 구조 설명</t>
  </si>
  <si>
    <r>
      <rPr>
        <sz val="10"/>
        <rFont val="DejaVu Sans"/>
        <family val="2"/>
      </rPr>
      <t xml:space="preserve">① 고객 결제액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 xml:space="preserve">음식값</t>
    </r>
    <r>
      <rPr>
        <sz val="10"/>
        <rFont val="DejaVu Sans"/>
        <family val="2"/>
        <charset val="1"/>
      </rPr>
      <t xml:space="preserve">(subtotal) + </t>
    </r>
    <r>
      <rPr>
        <sz val="10"/>
        <rFont val="DejaVu Sans"/>
        <family val="2"/>
      </rPr>
      <t xml:space="preserve">배달비</t>
    </r>
    <r>
      <rPr>
        <sz val="10"/>
        <rFont val="DejaVu Sans"/>
        <family val="2"/>
        <charset val="1"/>
      </rPr>
      <t xml:space="preserve">(deliveryFee)</t>
    </r>
  </si>
  <si>
    <r>
      <rPr>
        <sz val="10"/>
        <rFont val="DejaVu Sans"/>
        <family val="2"/>
      </rPr>
      <t xml:space="preserve">② 음식값 → 가맹점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음식점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에 전액 정산</t>
    </r>
  </si>
  <si>
    <r>
      <rPr>
        <sz val="10"/>
        <rFont val="DejaVu Sans"/>
        <family val="2"/>
      </rPr>
      <t xml:space="preserve">③ 배달비 → 플랫폼 수수료 </t>
    </r>
    <r>
      <rPr>
        <sz val="10"/>
        <rFont val="DejaVu Sans"/>
        <family val="2"/>
        <charset val="1"/>
      </rPr>
      <t xml:space="preserve">10% </t>
    </r>
    <r>
      <rPr>
        <sz val="10"/>
        <rFont val="DejaVu Sans"/>
        <family val="2"/>
      </rPr>
      <t xml:space="preserve">공제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세금 </t>
    </r>
    <r>
      <rPr>
        <sz val="10"/>
        <rFont val="DejaVu Sans"/>
        <family val="2"/>
        <charset val="1"/>
      </rPr>
      <t xml:space="preserve">3.3% </t>
    </r>
    <r>
      <rPr>
        <sz val="10"/>
        <rFont val="DejaVu Sans"/>
        <family val="2"/>
      </rPr>
      <t xml:space="preserve">원천징수 후 → 배달원에게 정산</t>
    </r>
  </si>
  <si>
    <r>
      <rPr>
        <sz val="10"/>
        <rFont val="DejaVu Sans"/>
        <family val="2"/>
      </rPr>
      <t xml:space="preserve">④ 플랫폼</t>
    </r>
    <r>
      <rPr>
        <sz val="10"/>
        <rFont val="DejaVu Sans"/>
        <family val="2"/>
        <charset val="1"/>
      </rPr>
      <t xml:space="preserve">(HKD) </t>
    </r>
    <r>
      <rPr>
        <sz val="10"/>
        <rFont val="DejaVu Sans"/>
        <family val="2"/>
      </rPr>
      <t xml:space="preserve">수익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 xml:space="preserve">배달비 </t>
    </r>
    <r>
      <rPr>
        <sz val="10"/>
        <rFont val="DejaVu Sans"/>
        <family val="2"/>
        <charset val="1"/>
      </rPr>
      <t xml:space="preserve">× 10% (</t>
    </r>
    <r>
      <rPr>
        <sz val="10"/>
        <rFont val="DejaVu Sans"/>
        <family val="2"/>
      </rPr>
      <t xml:space="preserve">예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배달비 </t>
    </r>
    <r>
      <rPr>
        <sz val="10"/>
        <rFont val="DejaVu Sans"/>
        <family val="2"/>
        <charset val="1"/>
      </rPr>
      <t xml:space="preserve">4,000</t>
    </r>
    <r>
      <rPr>
        <sz val="10"/>
        <rFont val="DejaVu Sans"/>
        <family val="2"/>
      </rPr>
      <t xml:space="preserve">원 → 플랫폼 수익 </t>
    </r>
    <r>
      <rPr>
        <sz val="10"/>
        <rFont val="DejaVu Sans"/>
        <family val="2"/>
        <charset val="1"/>
      </rPr>
      <t xml:space="preserve">400</t>
    </r>
    <r>
      <rPr>
        <sz val="10"/>
        <rFont val="DejaVu Sans"/>
        <family val="2"/>
      </rPr>
      <t xml:space="preserve">원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건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</si>
  <si>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⑤ 위 </t>
    </r>
    <r>
      <rPr>
        <sz val="10"/>
        <rFont val="DejaVu Sans"/>
        <family val="2"/>
        <charset val="1"/>
      </rPr>
      <t xml:space="preserve">"</t>
    </r>
    <r>
      <rPr>
        <sz val="10"/>
        <rFont val="DejaVu Sans"/>
        <family val="2"/>
      </rPr>
      <t xml:space="preserve">월매출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연매출 추정</t>
    </r>
    <r>
      <rPr>
        <sz val="10"/>
        <rFont val="DejaVu Sans"/>
        <family val="2"/>
        <charset val="1"/>
      </rPr>
      <t xml:space="preserve">"</t>
    </r>
    <r>
      <rPr>
        <sz val="10"/>
        <rFont val="DejaVu Sans"/>
        <family val="2"/>
      </rPr>
      <t xml:space="preserve">은 ④의 플랫폼 수수료 수입만을 의미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음식값 매출 제외</t>
    </r>
    <r>
      <rPr>
        <sz val="10"/>
        <rFont val="DejaVu Sans"/>
        <family val="2"/>
        <charset val="1"/>
      </rPr>
      <t xml:space="preserve">)</t>
    </r>
  </si>
  <si>
    <t xml:space="preserve">서비스 확산 단계별 전략 권고</t>
  </si>
  <si>
    <t xml:space="preserve">단계</t>
  </si>
  <si>
    <t xml:space="preserve">기간</t>
  </si>
  <si>
    <t xml:space="preserve">대상 지역</t>
  </si>
  <si>
    <t xml:space="preserve">핵심 전략</t>
  </si>
  <si>
    <r>
      <rPr>
        <b val="true"/>
        <sz val="11"/>
        <color rgb="FFFFFFFF"/>
        <rFont val="DejaVu Sans"/>
        <family val="2"/>
      </rPr>
      <t xml:space="preserve">예상 투자비
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</si>
  <si>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기대 효과</t>
  </si>
  <si>
    <t xml:space="preserve">KPI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</si>
  <si>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단계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검증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</si>
  <si>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1~3</t>
    </r>
    <r>
      <rPr>
        <sz val="10"/>
        <rFont val="DejaVu Sans"/>
        <family val="2"/>
      </rPr>
      <t xml:space="preserve">개월</t>
    </r>
  </si>
  <si>
    <r>
      <rPr>
        <sz val="10"/>
        <rFont val="DejaVu Sans"/>
        <family val="2"/>
      </rPr>
      <t xml:space="preserve">양양군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서핑비치 권역</t>
    </r>
    <r>
      <rPr>
        <sz val="10"/>
        <rFont val="DejaVu Sans"/>
        <family val="2"/>
        <charset val="1"/>
      </rPr>
      <t xml:space="preserve">)</t>
    </r>
  </si>
  <si>
    <t xml:space="preserve">• 현 한경배달 시스템 복제
• 양양 서핑 숙박업소 제휴
• 여름 성수기 맞춰 런칭</t>
  </si>
  <si>
    <t xml:space="preserve">2,000~3,000</t>
  </si>
  <si>
    <t xml:space="preserve">• 관광지 배달모델 검증
• 수요 데이터 수집</t>
  </si>
  <si>
    <r>
      <rPr>
        <sz val="10"/>
        <rFont val="DejaVu Sans"/>
        <family val="2"/>
      </rPr>
      <t xml:space="preserve">일 </t>
    </r>
    <r>
      <rPr>
        <sz val="10"/>
        <rFont val="DejaVu Sans"/>
        <family val="2"/>
        <charset val="1"/>
      </rPr>
      <t xml:space="preserve">50</t>
    </r>
    <r>
      <rPr>
        <sz val="10"/>
        <rFont val="DejaVu Sans"/>
        <family val="2"/>
      </rPr>
      <t xml:space="preserve">건 이상 주문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</si>
  <si>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단계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확대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</si>
  <si>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4~8</t>
    </r>
    <r>
      <rPr>
        <sz val="10"/>
        <rFont val="DejaVu Sans"/>
        <family val="2"/>
      </rPr>
      <t xml:space="preserve">개월</t>
    </r>
  </si>
  <si>
    <r>
      <rPr>
        <sz val="10"/>
        <rFont val="DejaVu Sans"/>
        <family val="2"/>
      </rPr>
      <t xml:space="preserve">고성군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남해군
태안군</t>
    </r>
  </si>
  <si>
    <r>
      <rPr>
        <sz val="10"/>
        <rFont val="Arial"/>
        <family val="0"/>
        <charset val="1"/>
      </rPr>
      <t xml:space="preserve">• 1</t>
    </r>
    <r>
      <rPr>
        <sz val="10"/>
        <rFont val="DejaVu Sans"/>
        <family val="2"/>
      </rPr>
      <t xml:space="preserve">단계 검증 모델 적용
• 지자체 협력 </t>
    </r>
    <r>
      <rPr>
        <sz val="10"/>
        <rFont val="Arial"/>
        <family val="0"/>
        <charset val="1"/>
      </rPr>
      <t xml:space="preserve">MOU
• 라이더 확보 방안 표준화</t>
    </r>
  </si>
  <si>
    <t xml:space="preserve">5,000~8,000</t>
  </si>
  <si>
    <r>
      <rPr>
        <sz val="10"/>
        <rFont val="Arial"/>
        <family val="0"/>
        <charset val="1"/>
      </rPr>
      <t xml:space="preserve">• 3</t>
    </r>
    <r>
      <rPr>
        <sz val="10"/>
        <rFont val="DejaVu Sans"/>
        <family val="2"/>
      </rPr>
      <t xml:space="preserve">개 지역 동시 운영
• 표준 운영모델 확립</t>
    </r>
  </si>
  <si>
    <r>
      <rPr>
        <sz val="10"/>
        <rFont val="DejaVu Sans"/>
        <family val="2"/>
      </rPr>
      <t xml:space="preserve">지역별 일 </t>
    </r>
    <r>
      <rPr>
        <sz val="10"/>
        <rFont val="DejaVu Sans"/>
        <family val="2"/>
        <charset val="1"/>
      </rPr>
      <t xml:space="preserve">30</t>
    </r>
    <r>
      <rPr>
        <sz val="10"/>
        <rFont val="DejaVu Sans"/>
        <family val="2"/>
      </rPr>
      <t xml:space="preserve">건 이상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</si>
  <si>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단계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안정화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</si>
  <si>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9~15</t>
    </r>
    <r>
      <rPr>
        <sz val="10"/>
        <rFont val="DejaVu Sans"/>
        <family val="2"/>
      </rPr>
      <t xml:space="preserve">개월</t>
    </r>
  </si>
  <si>
    <r>
      <rPr>
        <sz val="10"/>
        <rFont val="DejaVu Sans"/>
        <family val="2"/>
      </rPr>
      <t xml:space="preserve">완도군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인제군
평창군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보령시</t>
    </r>
  </si>
  <si>
    <r>
      <rPr>
        <sz val="10"/>
        <rFont val="DejaVu Sans"/>
        <family val="2"/>
      </rPr>
      <t xml:space="preserve">• 비수기 상주민 대상 프로모션
• 겨울 스키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온천 관광객 타겟
• 운영비 최적화</t>
    </r>
  </si>
  <si>
    <t xml:space="preserve">8,000~12,000</t>
  </si>
  <si>
    <t xml:space="preserve">• 비수기 수익모델 검증
• 사계절 운영 안정성 확보</t>
  </si>
  <si>
    <r>
      <rPr>
        <sz val="10"/>
        <rFont val="DejaVu Sans"/>
        <family val="2"/>
      </rPr>
      <t xml:space="preserve">비수기 일 </t>
    </r>
    <r>
      <rPr>
        <sz val="10"/>
        <rFont val="DejaVu Sans"/>
        <family val="2"/>
        <charset val="1"/>
      </rPr>
      <t xml:space="preserve">20</t>
    </r>
    <r>
      <rPr>
        <sz val="10"/>
        <rFont val="DejaVu Sans"/>
        <family val="2"/>
      </rPr>
      <t xml:space="preserve">건 유지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</si>
  <si>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단계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확장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</si>
  <si>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16~24</t>
    </r>
    <r>
      <rPr>
        <sz val="10"/>
        <rFont val="DejaVu Sans"/>
        <family val="2"/>
      </rPr>
      <t xml:space="preserve">개월</t>
    </r>
  </si>
  <si>
    <r>
      <rPr>
        <sz val="10"/>
        <rFont val="DejaVu Sans"/>
        <family val="2"/>
      </rPr>
      <t xml:space="preserve">울릉군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해남군
진도군 등</t>
    </r>
  </si>
  <si>
    <r>
      <rPr>
        <sz val="10"/>
        <rFont val="DejaVu Sans"/>
        <family val="2"/>
      </rPr>
      <t xml:space="preserve">• 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원거리 지역 특화모델
• 프랜차이즈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위탁운영 전환
• 전국 확산 체계 구축</t>
    </r>
  </si>
  <si>
    <t xml:space="preserve">15,000~20,000</t>
  </si>
  <si>
    <r>
      <rPr>
        <sz val="10"/>
        <rFont val="DejaVu Sans"/>
        <family val="2"/>
      </rPr>
      <t xml:space="preserve">• 전국 </t>
    </r>
    <r>
      <rPr>
        <sz val="10"/>
        <rFont val="DejaVu Sans"/>
        <family val="2"/>
        <charset val="1"/>
      </rPr>
      <t xml:space="preserve">10</t>
    </r>
    <r>
      <rPr>
        <sz val="10"/>
        <rFont val="DejaVu Sans"/>
        <family val="2"/>
      </rPr>
      <t xml:space="preserve">개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거점 운영
• 브랜드 인지도 확보</t>
    </r>
  </si>
  <si>
    <r>
      <rPr>
        <sz val="10"/>
        <rFont val="DejaVu Sans"/>
        <family val="2"/>
      </rPr>
      <t xml:space="preserve">총 일 </t>
    </r>
    <r>
      <rPr>
        <sz val="10"/>
        <rFont val="DejaVu Sans"/>
        <family val="2"/>
        <charset val="1"/>
      </rPr>
      <t xml:space="preserve">300</t>
    </r>
    <r>
      <rPr>
        <sz val="10"/>
        <rFont val="DejaVu Sans"/>
        <family val="2"/>
      </rPr>
      <t xml:space="preserve">건 이상</t>
    </r>
  </si>
  <si>
    <t xml:space="preserve">주요 리스크 및 대응 방안</t>
  </si>
  <si>
    <t xml:space="preserve">리스크</t>
  </si>
  <si>
    <t xml:space="preserve">영향도</t>
  </si>
  <si>
    <t xml:space="preserve">발생가능성</t>
  </si>
  <si>
    <t xml:space="preserve">대응 방안</t>
  </si>
  <si>
    <t xml:space="preserve">비수기 주문량 급감</t>
  </si>
  <si>
    <t xml:space="preserve">높음</t>
  </si>
  <si>
    <r>
      <rPr>
        <sz val="10"/>
        <rFont val="DejaVu Sans"/>
        <family val="2"/>
      </rPr>
      <t xml:space="preserve">상주민 정기구독 모델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지역 특산물 배달 서비스 결합</t>
    </r>
  </si>
  <si>
    <t xml:space="preserve">라이더 확보 어려움</t>
  </si>
  <si>
    <r>
      <rPr>
        <sz val="10"/>
        <rFont val="DejaVu Sans"/>
        <family val="2"/>
      </rPr>
      <t xml:space="preserve">지역 주민 파트타임 라이더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택배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물류업체 제휴</t>
    </r>
  </si>
  <si>
    <t xml:space="preserve">가맹점 부족</t>
  </si>
  <si>
    <t xml:space="preserve">중간</t>
  </si>
  <si>
    <r>
      <rPr>
        <sz val="10"/>
        <rFont val="DejaVu Sans"/>
        <family val="2"/>
      </rPr>
      <t xml:space="preserve">지역 음식점 디지털화 지원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초기 수수료 면제 프로모션</t>
    </r>
  </si>
  <si>
    <t xml:space="preserve">배민 등 대형앱 진입</t>
  </si>
  <si>
    <t xml:space="preserve">낮음</t>
  </si>
  <si>
    <r>
      <rPr>
        <sz val="10"/>
        <rFont val="DejaVu Sans"/>
        <family val="2"/>
      </rPr>
      <t xml:space="preserve">지역 밀착 서비스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지자체 협력으로 선점 우위 확보</t>
    </r>
  </si>
  <si>
    <t xml:space="preserve">초기 투자비 회수 지연</t>
  </si>
  <si>
    <r>
      <rPr>
        <sz val="10"/>
        <rFont val="DejaVu Sans"/>
        <family val="2"/>
      </rPr>
      <t xml:space="preserve">지자체 보조금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소멸지역 지원금 활용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린</t>
    </r>
    <r>
      <rPr>
        <sz val="10"/>
        <rFont val="DejaVu Sans"/>
        <family val="2"/>
        <charset val="1"/>
      </rPr>
      <t xml:space="preserve">(Lean) </t>
    </r>
    <r>
      <rPr>
        <sz val="10"/>
        <rFont val="DejaVu Sans"/>
        <family val="2"/>
      </rPr>
      <t xml:space="preserve">운영</t>
    </r>
  </si>
  <si>
    <t xml:space="preserve">데이터 출처 및 참고자료</t>
  </si>
  <si>
    <t xml:space="preserve">항목</t>
  </si>
  <si>
    <t xml:space="preserve">출처</t>
  </si>
  <si>
    <t xml:space="preserve">URL</t>
  </si>
  <si>
    <r>
      <rPr>
        <sz val="10"/>
        <rFont val="DejaVu Sans"/>
        <family val="2"/>
      </rPr>
      <t xml:space="preserve">인구감소지역 지정 </t>
    </r>
    <r>
      <rPr>
        <sz val="10"/>
        <rFont val="DejaVu Sans"/>
        <family val="2"/>
        <charset val="1"/>
      </rPr>
      <t xml:space="preserve">(89</t>
    </r>
    <r>
      <rPr>
        <sz val="10"/>
        <rFont val="DejaVu Sans"/>
        <family val="2"/>
      </rPr>
      <t xml:space="preserve">곳</t>
    </r>
    <r>
      <rPr>
        <sz val="10"/>
        <rFont val="DejaVu Sans"/>
        <family val="2"/>
        <charset val="1"/>
      </rPr>
      <t xml:space="preserve">)</t>
    </r>
  </si>
  <si>
    <t xml:space="preserve">행정안전부</t>
  </si>
  <si>
    <t xml:space="preserve">https://www.mois.go.kr/frt/sub/a06/b06/populationDecline/screen.do</t>
  </si>
  <si>
    <r>
      <rPr>
        <sz val="10"/>
        <rFont val="Arial"/>
        <family val="0"/>
        <charset val="1"/>
      </rPr>
      <t xml:space="preserve">2021.10 </t>
    </r>
    <r>
      <rPr>
        <sz val="10"/>
        <rFont val="DejaVu Sans"/>
        <family val="2"/>
      </rPr>
      <t xml:space="preserve">지정</t>
    </r>
    <r>
      <rPr>
        <sz val="10"/>
        <rFont val="Arial"/>
        <family val="0"/>
        <charset val="1"/>
      </rPr>
      <t xml:space="preserve">, 2</t>
    </r>
    <r>
      <rPr>
        <sz val="10"/>
        <rFont val="DejaVu Sans"/>
        <family val="2"/>
      </rPr>
      <t xml:space="preserve">년 주기 재지정</t>
    </r>
  </si>
  <si>
    <t xml:space="preserve">지역별 관광객 통계</t>
  </si>
  <si>
    <t xml:space="preserve">한국관광 데이터랩</t>
  </si>
  <si>
    <t xml:space="preserve">https://datalab.visitkorea.or.kr</t>
  </si>
  <si>
    <t xml:space="preserve">이동통신 빅데이터 기반</t>
  </si>
  <si>
    <t xml:space="preserve">주요관광지점 입장객통계</t>
  </si>
  <si>
    <t xml:space="preserve">관광지식정보시스템</t>
  </si>
  <si>
    <t xml:space="preserve">https://know.tour.go.kr/stat/visitStatDis/main.do</t>
  </si>
  <si>
    <t xml:space="preserve">분기별 공표</t>
  </si>
  <si>
    <t xml:space="preserve">주민등록 인구통계</t>
  </si>
  <si>
    <t xml:space="preserve">https://jumin.mois.go.kr</t>
  </si>
  <si>
    <t xml:space="preserve">월별 업데이트</t>
  </si>
  <si>
    <t xml:space="preserve">제주 관광 빅데이터</t>
  </si>
  <si>
    <t xml:space="preserve">제주관광공사</t>
  </si>
  <si>
    <t xml:space="preserve">https://data.ijto.or.kr</t>
  </si>
  <si>
    <t xml:space="preserve">일별 입도객 현황 포함</t>
  </si>
  <si>
    <t xml:space="preserve">공공배달앱 현황</t>
  </si>
  <si>
    <t xml:space="preserve">농림축산식품부</t>
  </si>
  <si>
    <t xml:space="preserve">https://www.mafra.go.kr</t>
  </si>
  <si>
    <r>
      <rPr>
        <sz val="10"/>
        <rFont val="DejaVu Sans"/>
        <family val="2"/>
      </rPr>
      <t xml:space="preserve">공공배달 통합포털 </t>
    </r>
    <r>
      <rPr>
        <sz val="10"/>
        <rFont val="DejaVu Sans"/>
        <family val="2"/>
        <charset val="1"/>
      </rPr>
      <t xml:space="preserve">2025.4 </t>
    </r>
    <r>
      <rPr>
        <sz val="10"/>
        <rFont val="DejaVu Sans"/>
        <family val="2"/>
      </rPr>
      <t xml:space="preserve">구축</t>
    </r>
  </si>
  <si>
    <t xml:space="preserve">배달앱 시장 동향</t>
  </si>
  <si>
    <t xml:space="preserve">각종 언론보도</t>
  </si>
  <si>
    <t xml:space="preserve">검색결과 참조</t>
  </si>
  <si>
    <r>
      <rPr>
        <sz val="10"/>
        <rFont val="DejaVu Sans"/>
        <family val="2"/>
      </rPr>
      <t xml:space="preserve">배민 로드러너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울트라콜 종료 등</t>
    </r>
  </si>
  <si>
    <t xml:space="preserve">강릉시 관광객 통계</t>
  </si>
  <si>
    <t xml:space="preserve">강릉시청 통계연보</t>
  </si>
  <si>
    <t xml:space="preserve">https://www.gn.go.kr/www/selectStatsAnlrptWebList.do</t>
  </si>
  <si>
    <r>
      <rPr>
        <sz val="10"/>
        <rFont val="Arial"/>
        <family val="0"/>
        <charset val="1"/>
      </rPr>
      <t xml:space="preserve">2024</t>
    </r>
    <r>
      <rPr>
        <sz val="10"/>
        <rFont val="DejaVu Sans"/>
        <family val="2"/>
      </rPr>
      <t xml:space="preserve">년 </t>
    </r>
    <r>
      <rPr>
        <sz val="10"/>
        <rFont val="Arial"/>
        <family val="0"/>
        <charset val="1"/>
      </rPr>
      <t xml:space="preserve">3,323</t>
    </r>
    <r>
      <rPr>
        <sz val="10"/>
        <rFont val="DejaVu Sans"/>
        <family val="2"/>
      </rPr>
      <t xml:space="preserve">만명</t>
    </r>
  </si>
  <si>
    <t xml:space="preserve">경주시 관광객 통계</t>
  </si>
  <si>
    <t xml:space="preserve">경주시청</t>
  </si>
  <si>
    <r>
      <rPr>
        <sz val="10"/>
        <rFont val="Arial"/>
        <family val="0"/>
        <charset val="1"/>
      </rPr>
      <t xml:space="preserve">2024</t>
    </r>
    <r>
      <rPr>
        <sz val="10"/>
        <rFont val="DejaVu Sans"/>
        <family val="2"/>
      </rPr>
      <t xml:space="preserve">년 약 </t>
    </r>
    <r>
      <rPr>
        <sz val="10"/>
        <rFont val="Arial"/>
        <family val="0"/>
        <charset val="1"/>
      </rPr>
      <t xml:space="preserve">4,700</t>
    </r>
    <r>
      <rPr>
        <sz val="10"/>
        <rFont val="DejaVu Sans"/>
        <family val="2"/>
      </rPr>
      <t xml:space="preserve">만명</t>
    </r>
  </si>
  <si>
    <t xml:space="preserve">제주도 관광객 총수</t>
  </si>
  <si>
    <t xml:space="preserve">https://www.jejudatahub.net/data/view/data/20</t>
  </si>
  <si>
    <r>
      <rPr>
        <sz val="10"/>
        <rFont val="Arial"/>
        <family val="0"/>
        <charset val="1"/>
      </rPr>
      <t xml:space="preserve">2024</t>
    </r>
    <r>
      <rPr>
        <sz val="10"/>
        <rFont val="DejaVu Sans"/>
        <family val="2"/>
      </rPr>
      <t xml:space="preserve">년 </t>
    </r>
    <r>
      <rPr>
        <sz val="10"/>
        <rFont val="Arial"/>
        <family val="0"/>
        <charset val="1"/>
      </rPr>
      <t xml:space="preserve">1,378</t>
    </r>
    <r>
      <rPr>
        <sz val="10"/>
        <rFont val="DejaVu Sans"/>
        <family val="2"/>
      </rPr>
      <t xml:space="preserve">만명</t>
    </r>
  </si>
  <si>
    <t xml:space="preserve">여수시 인구</t>
  </si>
  <si>
    <t xml:space="preserve">여수시청</t>
  </si>
  <si>
    <t xml:space="preserve">https://www.yeosu.go.kr</t>
  </si>
  <si>
    <r>
      <rPr>
        <sz val="10"/>
        <rFont val="Arial"/>
        <family val="0"/>
        <charset val="1"/>
      </rPr>
      <t xml:space="preserve">2024.12 </t>
    </r>
    <r>
      <rPr>
        <sz val="10"/>
        <rFont val="DejaVu Sans"/>
        <family val="2"/>
      </rPr>
      <t xml:space="preserve">기준 </t>
    </r>
    <r>
      <rPr>
        <sz val="10"/>
        <rFont val="Arial"/>
        <family val="0"/>
        <charset val="1"/>
      </rPr>
      <t xml:space="preserve">267,816</t>
    </r>
    <r>
      <rPr>
        <sz val="10"/>
        <rFont val="DejaVu Sans"/>
        <family val="2"/>
      </rPr>
      <t xml:space="preserve">명</t>
    </r>
  </si>
  <si>
    <t xml:space="preserve">농촌 고령화율</t>
  </si>
  <si>
    <t xml:space="preserve">한국농촌경제연구원</t>
  </si>
  <si>
    <t xml:space="preserve">https://www.krei.re.kr</t>
  </si>
  <si>
    <r>
      <rPr>
        <sz val="10"/>
        <rFont val="DejaVu Sans"/>
        <family val="2"/>
      </rPr>
      <t xml:space="preserve">면 지역 </t>
    </r>
    <r>
      <rPr>
        <sz val="10"/>
        <rFont val="DejaVu Sans"/>
        <family val="2"/>
        <charset val="1"/>
      </rPr>
      <t xml:space="preserve">32.4% (2022)</t>
    </r>
  </si>
  <si>
    <t xml:space="preserve">배달 플랫폼 규제</t>
  </si>
  <si>
    <t xml:space="preserve">FOOD TODAY</t>
  </si>
  <si>
    <t xml:space="preserve">https://www.foodtoday.or.kr/news/article.html?no=200763</t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</si>
  <si>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 규제 원년 전망</t>
    </r>
  </si>
  <si>
    <r>
      <rPr>
        <b val="true"/>
        <sz val="13"/>
        <color rgb="FF2F5496"/>
        <rFont val="DejaVu Sans"/>
        <family val="2"/>
      </rPr>
      <t xml:space="preserve">배달 거리 분포 시뮬레이션 결과 </t>
    </r>
    <r>
      <rPr>
        <b val="true"/>
        <sz val="13"/>
        <color rgb="FF2F5496"/>
        <rFont val="Arial"/>
        <family val="0"/>
        <charset val="1"/>
      </rPr>
      <t xml:space="preserve">(Monte Carlo, N=10,000/</t>
    </r>
    <r>
      <rPr>
        <b val="true"/>
        <sz val="13"/>
        <color rgb="FF2F5496"/>
        <rFont val="DejaVu Sans"/>
        <family val="2"/>
      </rPr>
      <t xml:space="preserve">지역</t>
    </r>
    <r>
      <rPr>
        <b val="true"/>
        <sz val="13"/>
        <color rgb="FF2F5496"/>
        <rFont val="Arial"/>
        <family val="0"/>
        <charset val="1"/>
      </rPr>
      <t xml:space="preserve">)</t>
    </r>
  </si>
  <si>
    <t xml:space="preserve">시뮬레이션 전제</t>
  </si>
  <si>
    <r>
      <rPr>
        <sz val="10"/>
        <rFont val="DejaVu Sans"/>
        <family val="2"/>
      </rPr>
      <t xml:space="preserve">기본 배달비 </t>
    </r>
    <r>
      <rPr>
        <sz val="10"/>
        <rFont val="Arial"/>
        <family val="0"/>
        <charset val="1"/>
      </rPr>
      <t xml:space="preserve">(2km </t>
    </r>
    <r>
      <rPr>
        <sz val="10"/>
        <rFont val="DejaVu Sans"/>
        <family val="2"/>
      </rPr>
      <t xml:space="preserve">이내</t>
    </r>
    <r>
      <rPr>
        <sz val="10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</si>
  <si>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5,000</t>
    </r>
    <r>
      <rPr>
        <sz val="10"/>
        <color rgb="FF0000FF"/>
        <rFont val="DejaVu Sans"/>
        <family val="2"/>
      </rPr>
      <t xml:space="preserve">원</t>
    </r>
  </si>
  <si>
    <t xml:space="preserve">음식점 추가 수거비</t>
  </si>
  <si>
    <r>
      <rPr>
        <sz val="10"/>
        <color rgb="FF0000FF"/>
        <rFont val="Arial"/>
        <family val="0"/>
        <charset val="1"/>
      </rPr>
      <t xml:space="preserve">3,000</t>
    </r>
    <r>
      <rPr>
        <sz val="10"/>
        <color rgb="FF0000FF"/>
        <rFont val="DejaVu Sans"/>
        <family val="2"/>
      </rPr>
      <t xml:space="preserve">원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DejaVu Sans"/>
        <family val="2"/>
      </rPr>
      <t xml:space="preserve">점</t>
    </r>
  </si>
  <si>
    <r>
      <rPr>
        <sz val="10"/>
        <rFont val="DejaVu Sans"/>
        <family val="2"/>
      </rPr>
      <t xml:space="preserve">거리 할증 </t>
    </r>
    <r>
      <rPr>
        <sz val="10"/>
        <rFont val="Arial"/>
        <family val="0"/>
        <charset val="1"/>
      </rPr>
      <t xml:space="preserve">(2km </t>
    </r>
    <r>
      <rPr>
        <sz val="10"/>
        <rFont val="DejaVu Sans"/>
        <family val="2"/>
      </rPr>
      <t xml:space="preserve">초과</t>
    </r>
    <r>
      <rPr>
        <sz val="10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</si>
  <si>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1,000</t>
    </r>
    <r>
      <rPr>
        <sz val="10"/>
        <color rgb="FF0000FF"/>
        <rFont val="DejaVu Sans"/>
        <family val="2"/>
      </rPr>
      <t xml:space="preserve">원</t>
    </r>
    <r>
      <rPr>
        <sz val="10"/>
        <color rgb="FF0000FF"/>
        <rFont val="Arial"/>
        <family val="0"/>
        <charset val="1"/>
      </rPr>
      <t xml:space="preserve">/0.5km</t>
    </r>
  </si>
  <si>
    <t xml:space="preserve">플랫폼 수수료율</t>
  </si>
  <si>
    <t xml:space="preserve">복수 음식점 주문 확률</t>
  </si>
  <si>
    <t xml:space="preserve">~15%</t>
  </si>
  <si>
    <t xml:space="preserve">지역</t>
  </si>
  <si>
    <r>
      <rPr>
        <b val="true"/>
        <sz val="11"/>
        <color rgb="FFFFFFFF"/>
        <rFont val="DejaVu Sans"/>
        <family val="2"/>
      </rPr>
      <t xml:space="preserve">평균 거리</t>
    </r>
    <r>
      <rPr>
        <b val="true"/>
        <sz val="11"/>
        <color rgb="FFFFFFFF"/>
        <rFont val="Arial"/>
        <family val="0"/>
        <charset val="1"/>
      </rPr>
      <t xml:space="preserve">(km)</t>
    </r>
  </si>
  <si>
    <r>
      <rPr>
        <b val="true"/>
        <sz val="11"/>
        <color rgb="FFFFFFFF"/>
        <rFont val="DejaVu Sans"/>
        <family val="2"/>
      </rPr>
      <t xml:space="preserve">중앙값</t>
    </r>
    <r>
      <rPr>
        <b val="true"/>
        <sz val="11"/>
        <color rgb="FFFFFFFF"/>
        <rFont val="Arial"/>
        <family val="0"/>
        <charset val="1"/>
      </rPr>
      <t xml:space="preserve">(km)</t>
    </r>
  </si>
  <si>
    <t xml:space="preserve">P25(km)</t>
  </si>
  <si>
    <t xml:space="preserve">P75(km)</t>
  </si>
  <si>
    <r>
      <rPr>
        <b val="true"/>
        <sz val="11"/>
        <color rgb="FFFFFFFF"/>
        <rFont val="Arial"/>
        <family val="0"/>
        <charset val="1"/>
      </rPr>
      <t xml:space="preserve">2km </t>
    </r>
    <r>
      <rPr>
        <b val="true"/>
        <sz val="11"/>
        <color rgb="FFFFFFFF"/>
        <rFont val="DejaVu Sans"/>
        <family val="2"/>
      </rPr>
      <t xml:space="preserve">이내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</si>
  <si>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2~4km(%)</t>
  </si>
  <si>
    <r>
      <rPr>
        <b val="true"/>
        <sz val="11"/>
        <color rgb="FFFFFFFF"/>
        <rFont val="Arial"/>
        <family val="0"/>
        <charset val="1"/>
      </rPr>
      <t xml:space="preserve">4km </t>
    </r>
    <r>
      <rPr>
        <b val="true"/>
        <sz val="11"/>
        <color rgb="FFFFFFFF"/>
        <rFont val="DejaVu Sans"/>
        <family val="2"/>
      </rPr>
      <t xml:space="preserve">초과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</si>
  <si>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DejaVu Sans"/>
        <family val="2"/>
      </rPr>
      <t xml:space="preserve">복수픽업율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</si>
  <si>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2F5496"/>
        <rFont val="DejaVu Sans"/>
        <family val="2"/>
      </rPr>
      <t xml:space="preserve">배달비 분포 </t>
    </r>
    <r>
      <rPr>
        <b val="true"/>
        <sz val="11"/>
        <color rgb="FF2F5496"/>
        <rFont val="Arial"/>
        <family val="0"/>
        <charset val="1"/>
      </rPr>
      <t xml:space="preserve">(</t>
    </r>
    <r>
      <rPr>
        <b val="true"/>
        <sz val="11"/>
        <color rgb="FF2F5496"/>
        <rFont val="DejaVu Sans"/>
        <family val="2"/>
      </rPr>
      <t xml:space="preserve">시뮬레이션 결과</t>
    </r>
    <r>
      <rPr>
        <b val="true"/>
        <sz val="11"/>
        <color rgb="FF2F5496"/>
        <rFont val="Arial"/>
        <family val="0"/>
        <charset val="1"/>
      </rPr>
      <t xml:space="preserve">)</t>
    </r>
  </si>
  <si>
    <t xml:space="preserve">중앙값</t>
  </si>
  <si>
    <t xml:space="preserve">최소</t>
  </si>
  <si>
    <t xml:space="preserve">최대</t>
  </si>
  <si>
    <t xml:space="preserve">P25</t>
  </si>
  <si>
    <t xml:space="preserve">P75</t>
  </si>
  <si>
    <r>
      <rPr>
        <b val="true"/>
        <sz val="13"/>
        <color rgb="FF2F5496"/>
        <rFont val="DejaVu Sans"/>
        <family val="2"/>
      </rPr>
      <t xml:space="preserve">수익 시뮬레이션</t>
    </r>
    <r>
      <rPr>
        <b val="true"/>
        <sz val="13"/>
        <color rgb="FF2F5496"/>
        <rFont val="Arial"/>
        <family val="0"/>
        <charset val="1"/>
      </rPr>
      <t xml:space="preserve">: Model A (</t>
    </r>
    <r>
      <rPr>
        <b val="true"/>
        <sz val="13"/>
        <color rgb="FF2F5496"/>
        <rFont val="DejaVu Sans"/>
        <family val="2"/>
      </rPr>
      <t xml:space="preserve">배달비 수수료</t>
    </r>
    <r>
      <rPr>
        <b val="true"/>
        <sz val="13"/>
        <color rgb="FF2F5496"/>
        <rFont val="Arial"/>
        <family val="0"/>
        <charset val="1"/>
      </rPr>
      <t xml:space="preserve">) vs Model B (</t>
    </r>
    <r>
      <rPr>
        <b val="true"/>
        <sz val="13"/>
        <color rgb="FF2F5496"/>
        <rFont val="DejaVu Sans"/>
        <family val="2"/>
      </rPr>
      <t xml:space="preserve">배달편의점</t>
    </r>
    <r>
      <rPr>
        <b val="true"/>
        <sz val="13"/>
        <color rgb="FF2F5496"/>
        <rFont val="Arial"/>
        <family val="0"/>
        <charset val="1"/>
      </rPr>
      <t xml:space="preserve">)</t>
    </r>
  </si>
  <si>
    <t xml:space="preserve">인구</t>
  </si>
  <si>
    <r>
      <rPr>
        <b val="true"/>
        <sz val="11"/>
        <color rgb="FFFFFFFF"/>
        <rFont val="DejaVu Sans"/>
        <family val="2"/>
      </rPr>
      <t xml:space="preserve">면적</t>
    </r>
    <r>
      <rPr>
        <b val="true"/>
        <sz val="11"/>
        <color rgb="FFFFFFFF"/>
        <rFont val="Arial"/>
        <family val="0"/>
        <charset val="1"/>
      </rPr>
      <t xml:space="preserve">(km²)</t>
    </r>
  </si>
  <si>
    <t xml:space="preserve">숙박시설</t>
  </si>
  <si>
    <t xml:space="preserve">음식점수</t>
  </si>
  <si>
    <t xml:space="preserve">성수기 일주문</t>
  </si>
  <si>
    <t xml:space="preserve">비수기 일주문</t>
  </si>
  <si>
    <r>
      <rPr>
        <b val="true"/>
        <sz val="11"/>
        <color rgb="FF2F5496"/>
        <rFont val="Arial"/>
        <family val="0"/>
        <charset val="1"/>
      </rPr>
      <t xml:space="preserve">Model A: </t>
    </r>
    <r>
      <rPr>
        <b val="true"/>
        <sz val="11"/>
        <color rgb="FF2F5496"/>
        <rFont val="DejaVu Sans"/>
        <family val="2"/>
      </rPr>
      <t xml:space="preserve">배달비 수수료 모델 </t>
    </r>
    <r>
      <rPr>
        <b val="true"/>
        <sz val="11"/>
        <color rgb="FF2F5496"/>
        <rFont val="Arial"/>
        <family val="0"/>
        <charset val="1"/>
      </rPr>
      <t xml:space="preserve">(</t>
    </r>
    <r>
      <rPr>
        <b val="true"/>
        <sz val="11"/>
        <color rgb="FF2F5496"/>
        <rFont val="DejaVu Sans"/>
        <family val="2"/>
      </rPr>
      <t xml:space="preserve">배달비 </t>
    </r>
    <r>
      <rPr>
        <b val="true"/>
        <sz val="11"/>
        <color rgb="FF2F5496"/>
        <rFont val="Arial"/>
        <family val="0"/>
        <charset val="1"/>
      </rPr>
      <t xml:space="preserve">× 10%)</t>
    </r>
  </si>
  <si>
    <t xml:space="preserve">성수기 일매출</t>
  </si>
  <si>
    <t xml:space="preserve">비수기 일매출</t>
  </si>
  <si>
    <t xml:space="preserve">성수기 월매출</t>
  </si>
  <si>
    <t xml:space="preserve">비수기 월매출</t>
  </si>
  <si>
    <t xml:space="preserve">연매출</t>
  </si>
  <si>
    <r>
      <rPr>
        <b val="true"/>
        <sz val="11"/>
        <color rgb="FFFFFFFF"/>
        <rFont val="DejaVu Sans"/>
        <family val="2"/>
      </rPr>
      <t xml:space="preserve">배달기사 일수입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성수기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</si>
  <si>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배달기사 일수입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비수기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</si>
  <si>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2F5496"/>
        <rFont val="Arial"/>
        <family val="0"/>
        <charset val="1"/>
      </rPr>
      <t xml:space="preserve">Model B: </t>
    </r>
    <r>
      <rPr>
        <b val="true"/>
        <sz val="11"/>
        <color rgb="FF2F5496"/>
        <rFont val="DejaVu Sans"/>
        <family val="2"/>
      </rPr>
      <t xml:space="preserve">배달편의점 모델 </t>
    </r>
    <r>
      <rPr>
        <b val="true"/>
        <sz val="11"/>
        <color rgb="FF2F5496"/>
        <rFont val="Arial"/>
        <family val="0"/>
        <charset val="1"/>
      </rPr>
      <t xml:space="preserve">(</t>
    </r>
    <r>
      <rPr>
        <b val="true"/>
        <sz val="11"/>
        <color rgb="FF2F5496"/>
        <rFont val="DejaVu Sans"/>
        <family val="2"/>
      </rPr>
      <t xml:space="preserve">배달비 수수료 </t>
    </r>
    <r>
      <rPr>
        <b val="true"/>
        <sz val="11"/>
        <color rgb="FF2F5496"/>
        <rFont val="Arial"/>
        <family val="0"/>
        <charset val="1"/>
      </rPr>
      <t xml:space="preserve">+ </t>
    </r>
    <r>
      <rPr>
        <b val="true"/>
        <sz val="11"/>
        <color rgb="FF2F5496"/>
        <rFont val="DejaVu Sans"/>
        <family val="2"/>
      </rPr>
      <t xml:space="preserve">주류</t>
    </r>
    <r>
      <rPr>
        <b val="true"/>
        <sz val="11"/>
        <color rgb="FF2F5496"/>
        <rFont val="Arial"/>
        <family val="0"/>
        <charset val="1"/>
      </rPr>
      <t xml:space="preserve">/</t>
    </r>
    <r>
      <rPr>
        <b val="true"/>
        <sz val="11"/>
        <color rgb="FF2F5496"/>
        <rFont val="DejaVu Sans"/>
        <family val="2"/>
      </rPr>
      <t xml:space="preserve">간식 유통마진</t>
    </r>
    <r>
      <rPr>
        <b val="true"/>
        <sz val="11"/>
        <color rgb="FF2F5496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</si>
  <si>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주류마진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성수기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</si>
  <si>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간식마진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성수기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</si>
  <si>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주류마진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비수기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</si>
  <si>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간식마진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비수기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</si>
  <si>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배수</t>
    </r>
    <r>
      <rPr>
        <b val="true"/>
        <sz val="11"/>
        <color rgb="FFFFFFFF"/>
        <rFont val="Arial"/>
        <family val="0"/>
        <charset val="1"/>
      </rPr>
      <t xml:space="preserve">(B/A)</t>
    </r>
  </si>
  <si>
    <t xml:space="preserve">배달편의점 모델 전제조건</t>
  </si>
  <si>
    <r>
      <rPr>
        <sz val="10"/>
        <rFont val="DejaVu Sans"/>
        <family val="2"/>
      </rPr>
      <t xml:space="preserve">주류 첨부율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성수기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</si>
  <si>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주류 첨부율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비수기</t>
    </r>
    <r>
      <rPr>
        <sz val="10"/>
        <rFont val="Arial"/>
        <family val="0"/>
        <charset val="1"/>
      </rPr>
      <t xml:space="preserve">)</t>
    </r>
  </si>
  <si>
    <t xml:space="preserve">평균 주류 주문액</t>
  </si>
  <si>
    <r>
      <rPr>
        <sz val="10"/>
        <color rgb="FF0000FF"/>
        <rFont val="Arial"/>
        <family val="0"/>
        <charset val="1"/>
      </rPr>
      <t xml:space="preserve">12,000</t>
    </r>
    <r>
      <rPr>
        <sz val="10"/>
        <color rgb="FF0000FF"/>
        <rFont val="DejaVu Sans"/>
        <family val="2"/>
      </rPr>
      <t xml:space="preserve">원</t>
    </r>
  </si>
  <si>
    <t xml:space="preserve">주류 유통 마진</t>
  </si>
  <si>
    <r>
      <rPr>
        <sz val="10"/>
        <rFont val="DejaVu Sans"/>
        <family val="2"/>
      </rPr>
      <t xml:space="preserve">간식 첨부율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성수기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</si>
  <si>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간식 첨부율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비수기</t>
    </r>
    <r>
      <rPr>
        <sz val="10"/>
        <rFont val="Arial"/>
        <family val="0"/>
        <charset val="1"/>
      </rPr>
      <t xml:space="preserve">)</t>
    </r>
  </si>
  <si>
    <t xml:space="preserve">평균 간식 주문액</t>
  </si>
  <si>
    <r>
      <rPr>
        <sz val="10"/>
        <color rgb="FF0000FF"/>
        <rFont val="Arial"/>
        <family val="0"/>
        <charset val="1"/>
      </rPr>
      <t xml:space="preserve">8,000</t>
    </r>
    <r>
      <rPr>
        <sz val="10"/>
        <color rgb="FF0000FF"/>
        <rFont val="DejaVu Sans"/>
        <family val="2"/>
      </rPr>
      <t xml:space="preserve">원</t>
    </r>
  </si>
  <si>
    <t xml:space="preserve">간식 유통 마진</t>
  </si>
  <si>
    <t xml:space="preserve">법적 제한</t>
  </si>
  <si>
    <r>
      <rPr>
        <sz val="10"/>
        <color rgb="FF0000FF"/>
        <rFont val="DejaVu Sans"/>
        <family val="2"/>
      </rPr>
      <t xml:space="preserve">주류가격 ≤ 음식값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DejaVu Sans"/>
        <family val="2"/>
      </rPr>
      <t xml:space="preserve">국세청 규정</t>
    </r>
    <r>
      <rPr>
        <sz val="10"/>
        <color rgb="FF0000FF"/>
        <rFont val="Arial"/>
        <family val="0"/>
        <charset val="1"/>
      </rPr>
      <t xml:space="preserve">)</t>
    </r>
  </si>
  <si>
    <r>
      <rPr>
        <b val="true"/>
        <sz val="13"/>
        <color rgb="FF2F5496"/>
        <rFont val="DejaVu Sans"/>
        <family val="2"/>
      </rPr>
      <t xml:space="preserve">지역별 연간 수익 비교 </t>
    </r>
    <r>
      <rPr>
        <b val="true"/>
        <sz val="13"/>
        <color rgb="FF2F5496"/>
        <rFont val="Arial"/>
        <family val="0"/>
        <charset val="1"/>
      </rPr>
      <t xml:space="preserve">(Model A vs Model B)</t>
    </r>
  </si>
  <si>
    <r>
      <rPr>
        <b val="true"/>
        <sz val="11"/>
        <color rgb="FFFFFFFF"/>
        <rFont val="Arial"/>
        <family val="0"/>
        <charset val="1"/>
      </rPr>
      <t xml:space="preserve">Model A </t>
    </r>
    <r>
      <rPr>
        <b val="true"/>
        <sz val="11"/>
        <color rgb="FFFFFFFF"/>
        <rFont val="DejaVu Sans"/>
        <family val="2"/>
      </rPr>
      <t xml:space="preserve">연매출</t>
    </r>
  </si>
  <si>
    <r>
      <rPr>
        <b val="true"/>
        <sz val="11"/>
        <color rgb="FFFFFFFF"/>
        <rFont val="Arial"/>
        <family val="0"/>
        <charset val="1"/>
      </rPr>
      <t xml:space="preserve">Model B </t>
    </r>
    <r>
      <rPr>
        <b val="true"/>
        <sz val="11"/>
        <color rgb="FFFFFFFF"/>
        <rFont val="DejaVu Sans"/>
        <family val="2"/>
      </rPr>
      <t xml:space="preserve">연매출</t>
    </r>
  </si>
  <si>
    <t xml:space="preserve">증가분</t>
  </si>
  <si>
    <t xml:space="preserve">합계</t>
  </si>
  <si>
    <t xml:space="preserve">핵심 인사이트</t>
  </si>
  <si>
    <r>
      <rPr>
        <sz val="10"/>
        <rFont val="DejaVu Sans"/>
        <family val="2"/>
      </rPr>
      <t xml:space="preserve">• 배달편의점 모델</t>
    </r>
    <r>
      <rPr>
        <sz val="10"/>
        <rFont val="Arial"/>
        <family val="0"/>
        <charset val="1"/>
      </rPr>
      <t xml:space="preserve">(B)</t>
    </r>
    <r>
      <rPr>
        <sz val="10"/>
        <rFont val="DejaVu Sans"/>
        <family val="2"/>
      </rPr>
      <t xml:space="preserve">은 순수 배달비 수수료 모델</t>
    </r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대비 평균 </t>
    </r>
    <r>
      <rPr>
        <sz val="10"/>
        <rFont val="Arial"/>
        <family val="0"/>
        <charset val="1"/>
      </rPr>
      <t xml:space="preserve">2.5~3.1</t>
    </r>
    <r>
      <rPr>
        <sz val="10"/>
        <rFont val="DejaVu Sans"/>
        <family val="2"/>
      </rPr>
      <t xml:space="preserve">배 수익 증가</t>
    </r>
  </si>
  <si>
    <r>
      <rPr>
        <sz val="10"/>
        <rFont val="DejaVu Sans"/>
        <family val="2"/>
      </rPr>
      <t xml:space="preserve">• 태안군이 </t>
    </r>
    <r>
      <rPr>
        <sz val="10"/>
        <rFont val="Arial"/>
        <family val="0"/>
        <charset val="1"/>
      </rPr>
      <t xml:space="preserve">Model B </t>
    </r>
    <r>
      <rPr>
        <sz val="10"/>
        <rFont val="DejaVu Sans"/>
        <family val="2"/>
      </rPr>
      <t xml:space="preserve">기준 최고 연매출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약 </t>
    </r>
    <r>
      <rPr>
        <sz val="10"/>
        <rFont val="Arial"/>
        <family val="0"/>
        <charset val="1"/>
      </rPr>
      <t xml:space="preserve">2.47</t>
    </r>
    <r>
      <rPr>
        <sz val="10"/>
        <rFont val="DejaVu Sans"/>
        <family val="2"/>
      </rPr>
      <t xml:space="preserve">억원</t>
    </r>
    <r>
      <rPr>
        <sz val="10"/>
        <rFont val="Arial"/>
        <family val="0"/>
        <charset val="1"/>
      </rPr>
      <t xml:space="preserve">) - </t>
    </r>
    <r>
      <rPr>
        <sz val="10"/>
        <rFont val="DejaVu Sans"/>
        <family val="2"/>
      </rPr>
      <t xml:space="preserve">대규모 숙박시설 밀집 효과</t>
    </r>
  </si>
  <si>
    <r>
      <rPr>
        <sz val="10"/>
        <rFont val="DejaVu Sans"/>
        <family val="2"/>
      </rPr>
      <t xml:space="preserve">• 울릉군은 절대 매출은 낮으나 배수</t>
    </r>
    <r>
      <rPr>
        <sz val="10"/>
        <rFont val="Arial"/>
        <family val="0"/>
        <charset val="1"/>
      </rPr>
      <t xml:space="preserve">(3.12x)</t>
    </r>
    <r>
      <rPr>
        <sz val="10"/>
        <rFont val="DejaVu Sans"/>
        <family val="2"/>
      </rPr>
      <t xml:space="preserve">가 가장 높음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섬 지역 주류 수요 특성</t>
    </r>
  </si>
  <si>
    <r>
      <rPr>
        <sz val="10"/>
        <rFont val="DejaVu Sans"/>
        <family val="2"/>
      </rPr>
      <t xml:space="preserve">• 주류 유통마진</t>
    </r>
    <r>
      <rPr>
        <sz val="10"/>
        <rFont val="Arial"/>
        <family val="0"/>
        <charset val="1"/>
      </rPr>
      <t xml:space="preserve">(25%)</t>
    </r>
    <r>
      <rPr>
        <sz val="10"/>
        <rFont val="DejaVu Sans"/>
        <family val="2"/>
      </rPr>
      <t xml:space="preserve">이 전체 추가 수익의 약 </t>
    </r>
    <r>
      <rPr>
        <sz val="10"/>
        <rFont val="Arial"/>
        <family val="0"/>
        <charset val="1"/>
      </rPr>
      <t xml:space="preserve">65%</t>
    </r>
    <r>
      <rPr>
        <sz val="10"/>
        <rFont val="DejaVu Sans"/>
        <family val="2"/>
      </rPr>
      <t xml:space="preserve">를 차지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핵심 수익원</t>
    </r>
  </si>
  <si>
    <r>
      <rPr>
        <sz val="10"/>
        <rFont val="DejaVu Sans"/>
        <family val="2"/>
      </rPr>
      <t xml:space="preserve">• 성수기</t>
    </r>
    <r>
      <rPr>
        <sz val="10"/>
        <rFont val="Arial"/>
        <family val="0"/>
        <charset val="1"/>
      </rPr>
      <t xml:space="preserve">(6~8</t>
    </r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집중도가 높아 비수기 대비 </t>
    </r>
    <r>
      <rPr>
        <sz val="10"/>
        <rFont val="Arial"/>
        <family val="0"/>
        <charset val="1"/>
      </rPr>
      <t xml:space="preserve">5~8</t>
    </r>
    <r>
      <rPr>
        <sz val="10"/>
        <rFont val="DejaVu Sans"/>
        <family val="2"/>
      </rPr>
      <t xml:space="preserve">배 매출 차이 발생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</si>
</sst>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0.00"/>
    <numFmt numFmtId="168" formatCode="#,##0"/>
    <numFmt numFmtId="169" formatCode="0.0%"/>
    <numFmt numFmtId="170" formatCode="0.00\x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DejaVu Sans"/>
      <family val="2"/>
    </font>
    <font>
      <b val="true"/>
      <sz val="18"/>
      <color rgb="FF1F4E79"/>
      <name val="DejaVu Sans"/>
      <family val="2"/>
      <charset val="1"/>
    </font>
    <font>
      <sz val="11"/>
      <color rgb="FF666666"/>
      <name val="DejaVu Sans"/>
      <family val="2"/>
    </font>
    <font>
      <sz val="11"/>
      <color rgb="FF666666"/>
      <name val="DejaVu Sans"/>
      <family val="2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1F4E79"/>
      <name val="DejaVu Sans"/>
      <family val="2"/>
    </font>
    <font>
      <sz val="10"/>
      <name val="DejaVu Sans"/>
      <family val="2"/>
    </font>
    <font>
      <sz val="10"/>
      <name val="DejaVu Sans"/>
      <family val="2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b val="true"/>
      <sz val="14"/>
      <color rgb="FF1F4E79"/>
      <name val="DejaVu Sans"/>
      <family val="2"/>
    </font>
    <font>
      <b val="true"/>
      <sz val="11"/>
      <color rgb="FFFFFFFF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DejaVu Sans"/>
      <family val="2"/>
    </font>
    <font>
      <i val="true"/>
      <sz val="9"/>
      <color rgb="FF666666"/>
      <name val="DejaVu Sans"/>
      <family val="2"/>
      <charset val="1"/>
    </font>
    <font>
      <b val="true"/>
      <sz val="14"/>
      <color rgb="FF1F4E79"/>
      <name val="DejaVu Sans"/>
      <family val="2"/>
      <charset val="1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name val="DejaVu Sans"/>
      <family val="2"/>
    </font>
    <font>
      <b val="true"/>
      <sz val="13"/>
      <color rgb="FF2F5496"/>
      <name val="DejaVu Sans"/>
      <family val="2"/>
    </font>
    <font>
      <b val="true"/>
      <sz val="13"/>
      <color rgb="FF2F5496"/>
      <name val="Arial"/>
      <family val="0"/>
      <charset val="1"/>
    </font>
    <font>
      <b val="true"/>
      <sz val="11"/>
      <color rgb="FF2F5496"/>
      <name val="DejaVu Sans"/>
      <family val="2"/>
    </font>
    <font>
      <sz val="10"/>
      <color rgb="FF0000FF"/>
      <name val="Arial"/>
      <family val="0"/>
      <charset val="1"/>
    </font>
    <font>
      <sz val="10"/>
      <color rgb="FF0000FF"/>
      <name val="DejaVu Sans"/>
      <family val="2"/>
    </font>
    <font>
      <b val="true"/>
      <sz val="11"/>
      <color rgb="FF2F5496"/>
      <name val="Arial"/>
      <family val="0"/>
      <charset val="1"/>
    </font>
    <font>
      <b val="true"/>
      <sz val="11"/>
      <color rgb="FF2196F3"/>
      <name val="Arial"/>
      <family val="0"/>
      <charset val="1"/>
    </font>
    <font>
      <b val="true"/>
      <sz val="11"/>
      <color rgb="FFFF6B35"/>
      <name val="Arial"/>
      <family val="0"/>
      <charset val="1"/>
    </font>
    <font>
      <b val="true"/>
      <sz val="11"/>
      <color rgb="FF4CAF50"/>
      <name val="Arial"/>
      <family val="0"/>
      <charset val="1"/>
    </font>
    <font>
      <b val="true"/>
      <sz val="11"/>
      <color rgb="FF9E9E9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2F5496"/>
      </patternFill>
    </fill>
    <fill>
      <patternFill patternType="solid">
        <fgColor rgb="FF2E75B6"/>
        <bgColor rgb="FF426FA6"/>
      </patternFill>
    </fill>
    <fill>
      <patternFill patternType="solid">
        <fgColor rgb="FF9DC3E6"/>
        <bgColor rgb="FFB0B0B0"/>
      </patternFill>
    </fill>
    <fill>
      <patternFill patternType="solid">
        <fgColor rgb="FFDEEBF7"/>
        <bgColor rgb="FFD6E4F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D6E4F0"/>
        <bgColor rgb="FFDEEBF7"/>
      </patternFill>
    </fill>
    <fill>
      <patternFill patternType="solid">
        <fgColor rgb="FF2F5496"/>
        <bgColor rgb="FF1F4E7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3D97AF"/>
      <rgbColor rgb="FFB0B0B0"/>
      <rgbColor rgb="FF878787"/>
      <rgbColor rgb="FF8EA5CA"/>
      <rgbColor rgb="FFAA433F"/>
      <rgbColor rgb="FFB3C992"/>
      <rgbColor rgb="FFDEEBF7"/>
      <rgbColor rgb="FF660066"/>
      <rgbColor rgb="FFED7D31"/>
      <rgbColor rgb="FF426FA6"/>
      <rgbColor rgb="FFD9D9D9"/>
      <rgbColor rgb="FF000080"/>
      <rgbColor rgb="FFFF00FF"/>
      <rgbColor rgb="FFFFFF00"/>
      <rgbColor rgb="FF00FFFF"/>
      <rgbColor rgb="FF800080"/>
      <rgbColor rgb="FF800000"/>
      <rgbColor rgb="FFA0A0A0"/>
      <rgbColor rgb="FF0000FF"/>
      <rgbColor rgb="FF00CCFF"/>
      <rgbColor rgb="FFD6E4F0"/>
      <rgbColor rgb="FFC6EFCE"/>
      <rgbColor rgb="FFFFEB9C"/>
      <rgbColor rgb="FF9DC3E6"/>
      <rgbColor rgb="FFCC8F8E"/>
      <rgbColor rgb="FFA596B9"/>
      <rgbColor rgb="FFFFC7CE"/>
      <rgbColor rgb="FF2E75B6"/>
      <rgbColor rgb="FF2196F3"/>
      <rgbColor rgb="FF70AD47"/>
      <rgbColor rgb="FFFFC000"/>
      <rgbColor rgb="FFDB8238"/>
      <rgbColor rgb="FFFF6B35"/>
      <rgbColor rgb="FF6F568D"/>
      <rgbColor rgb="FF9E9E9E"/>
      <rgbColor rgb="FF1F4E79"/>
      <rgbColor rgb="FF4CAF50"/>
      <rgbColor rgb="FF003300"/>
      <rgbColor rgb="FF333300"/>
      <rgbColor rgb="FF993300"/>
      <rgbColor rgb="FF7030A0"/>
      <rgbColor rgb="FF2F5496"/>
      <rgbColor rgb="FF6666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주요 후보 지역 월별 관광 수요 지수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분석'!$B$3:$M$3</c:f>
              <c:numCache>
                <c:formatCode>0</c:formatCode>
                <c:ptCount val="12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40</c:v>
                </c:pt>
                <c:pt idx="4">
                  <c:v>55</c:v>
                </c:pt>
                <c:pt idx="5">
                  <c:v>80</c:v>
                </c:pt>
                <c:pt idx="6">
                  <c:v>100</c:v>
                </c:pt>
                <c:pt idx="7">
                  <c:v>95</c:v>
                </c:pt>
                <c:pt idx="8">
                  <c:v>50</c:v>
                </c:pt>
                <c:pt idx="9">
                  <c:v>30</c:v>
                </c:pt>
                <c:pt idx="10">
                  <c:v>18</c:v>
                </c:pt>
                <c:pt idx="11">
                  <c:v>12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분석'!$B$4:$M$4</c:f>
              <c:numCache>
                <c:formatCode>0</c:formatCode>
                <c:ptCount val="12"/>
                <c:pt idx="0">
                  <c:v>12</c:v>
                </c:pt>
                <c:pt idx="1">
                  <c:v>15</c:v>
                </c:pt>
                <c:pt idx="2">
                  <c:v>20</c:v>
                </c:pt>
                <c:pt idx="3">
                  <c:v>35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90</c:v>
                </c:pt>
                <c:pt idx="8">
                  <c:v>45</c:v>
                </c:pt>
                <c:pt idx="9">
                  <c:v>25</c:v>
                </c:pt>
                <c:pt idx="10">
                  <c:v>15</c:v>
                </c:pt>
                <c:pt idx="11">
                  <c:v>10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분석'!$B$5:$M$5</c:f>
              <c:numCache>
                <c:formatCode>0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35</c:v>
                </c:pt>
                <c:pt idx="3">
                  <c:v>50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75</c:v>
                </c:pt>
                <c:pt idx="9">
                  <c:v>50</c:v>
                </c:pt>
                <c:pt idx="10">
                  <c:v>30</c:v>
                </c:pt>
                <c:pt idx="11">
                  <c:v>20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분석'!$B$6:$M$6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20</c:v>
                </c:pt>
                <c:pt idx="3">
                  <c:v>35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95</c:v>
                </c:pt>
                <c:pt idx="8">
                  <c:v>40</c:v>
                </c:pt>
                <c:pt idx="9">
                  <c:v>25</c:v>
                </c:pt>
                <c:pt idx="10">
                  <c:v>15</c:v>
                </c:pt>
                <c:pt idx="11">
                  <c:v>10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분석'!$B$7:$M$7</c:f>
              <c:numCache>
                <c:formatCode>0</c:formatCode>
                <c:ptCount val="12"/>
                <c:pt idx="0">
                  <c:v>15</c:v>
                </c:pt>
                <c:pt idx="1">
                  <c:v>18</c:v>
                </c:pt>
                <c:pt idx="2">
                  <c:v>25</c:v>
                </c:pt>
                <c:pt idx="3">
                  <c:v>40</c:v>
                </c:pt>
                <c:pt idx="4">
                  <c:v>55</c:v>
                </c:pt>
                <c:pt idx="5">
                  <c:v>70</c:v>
                </c:pt>
                <c:pt idx="6">
                  <c:v>90</c:v>
                </c:pt>
                <c:pt idx="7">
                  <c:v>100</c:v>
                </c:pt>
                <c:pt idx="8">
                  <c:v>80</c:v>
                </c:pt>
                <c:pt idx="9">
                  <c:v>45</c:v>
                </c:pt>
                <c:pt idx="10">
                  <c:v>25</c:v>
                </c:pt>
                <c:pt idx="11">
                  <c:v>15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분석'!$B$8:$M$8</c:f>
              <c:numCache>
                <c:formatCode>0</c:formatCode>
                <c:ptCount val="12"/>
                <c:pt idx="0">
                  <c:v>25</c:v>
                </c:pt>
                <c:pt idx="1">
                  <c:v>20</c:v>
                </c:pt>
                <c:pt idx="2">
                  <c:v>18</c:v>
                </c:pt>
                <c:pt idx="3">
                  <c:v>30</c:v>
                </c:pt>
                <c:pt idx="4">
                  <c:v>50</c:v>
                </c:pt>
                <c:pt idx="5">
                  <c:v>70</c:v>
                </c:pt>
                <c:pt idx="6">
                  <c:v>100</c:v>
                </c:pt>
                <c:pt idx="7">
                  <c:v>90</c:v>
                </c:pt>
                <c:pt idx="8">
                  <c:v>45</c:v>
                </c:pt>
                <c:pt idx="9">
                  <c:v>35</c:v>
                </c:pt>
                <c:pt idx="10">
                  <c:v>20</c:v>
                </c:pt>
                <c:pt idx="11">
                  <c:v>30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분석'!$B$9:$M$9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95</c:v>
                </c:pt>
                <c:pt idx="8">
                  <c:v>60</c:v>
                </c:pt>
                <c:pt idx="9">
                  <c:v>30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분석'!$B$10:$M$10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18</c:v>
                </c:pt>
                <c:pt idx="3">
                  <c:v>30</c:v>
                </c:pt>
                <c:pt idx="4">
                  <c:v>50</c:v>
                </c:pt>
                <c:pt idx="5">
                  <c:v>70</c:v>
                </c:pt>
                <c:pt idx="6">
                  <c:v>100</c:v>
                </c:pt>
                <c:pt idx="7">
                  <c:v>90</c:v>
                </c:pt>
                <c:pt idx="8">
                  <c:v>35</c:v>
                </c:pt>
                <c:pt idx="9">
                  <c:v>20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분석'!$B$11:$M$11</c:f>
              <c:numCache>
                <c:formatCode>0</c:formatCode>
                <c:ptCount val="12"/>
                <c:pt idx="0">
                  <c:v>35</c:v>
                </c:pt>
                <c:pt idx="1">
                  <c:v>30</c:v>
                </c:pt>
                <c:pt idx="2">
                  <c:v>20</c:v>
                </c:pt>
                <c:pt idx="3">
                  <c:v>25</c:v>
                </c:pt>
                <c:pt idx="4">
                  <c:v>40</c:v>
                </c:pt>
                <c:pt idx="5">
                  <c:v>55</c:v>
                </c:pt>
                <c:pt idx="6">
                  <c:v>80</c:v>
                </c:pt>
                <c:pt idx="7">
                  <c:v>100</c:v>
                </c:pt>
                <c:pt idx="8">
                  <c:v>45</c:v>
                </c:pt>
                <c:pt idx="9">
                  <c:v>35</c:v>
                </c:pt>
                <c:pt idx="10">
                  <c:v>25</c:v>
                </c:pt>
                <c:pt idx="11">
                  <c:v>45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'계절별 수요 분석'!$B$2:$M$2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'계절별 수요 분석'!$B$12:$M$12</c:f>
              <c:numCache>
                <c:formatCode>0</c:formatCode>
                <c:ptCount val="12"/>
                <c:pt idx="0">
                  <c:v>25</c:v>
                </c:pt>
                <c:pt idx="1">
                  <c:v>28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70</c:v>
                </c:pt>
                <c:pt idx="6">
                  <c:v>90</c:v>
                </c:pt>
                <c:pt idx="7">
                  <c:v>100</c:v>
                </c:pt>
                <c:pt idx="8">
                  <c:v>75</c:v>
                </c:pt>
                <c:pt idx="9">
                  <c:v>50</c:v>
                </c:pt>
                <c:pt idx="10">
                  <c:v>35</c:v>
                </c:pt>
                <c:pt idx="11">
                  <c:v>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755178"/>
        <c:axId val="33977315"/>
      </c:lineChart>
      <c:catAx>
        <c:axId val="327551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977315"/>
        <c:crosses val="autoZero"/>
        <c:auto val="1"/>
        <c:lblAlgn val="ctr"/>
        <c:lblOffset val="100"/>
        <c:noMultiLvlLbl val="0"/>
      </c:catAx>
      <c:valAx>
        <c:axId val="33977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수요 지수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7551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17</xdr:col>
      <xdr:colOff>349920</xdr:colOff>
      <xdr:row>43</xdr:row>
      <xdr:rowOff>23400</xdr:rowOff>
    </xdr:to>
    <xdr:graphicFrame>
      <xdr:nvGraphicFramePr>
        <xdr:cNvPr id="1" name="Chart 1"/>
        <xdr:cNvGraphicFramePr/>
      </xdr:nvGraphicFramePr>
      <xdr:xfrm>
        <a:off x="0" y="2914560"/>
        <a:ext cx="10078920" cy="535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  <col collapsed="false" customWidth="true" hidden="false" outlineLevel="0" max="8" min="3" style="1" width="1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49.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7" customFormat="false" ht="15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6" t="s">
        <v>5</v>
      </c>
      <c r="B8" s="6" t="s">
        <v>6</v>
      </c>
      <c r="C8" s="6" t="s">
        <v>7</v>
      </c>
    </row>
    <row r="9" customFormat="false" ht="15" hidden="false" customHeight="true" outlineLevel="0" collapsed="false">
      <c r="A9" s="7" t="s">
        <v>8</v>
      </c>
      <c r="B9" s="7" t="s">
        <v>9</v>
      </c>
      <c r="C9" s="8" t="s">
        <v>10</v>
      </c>
    </row>
    <row r="10" customFormat="false" ht="15" hidden="false" customHeight="true" outlineLevel="0" collapsed="false">
      <c r="A10" s="7" t="s">
        <v>11</v>
      </c>
      <c r="B10" s="7" t="s">
        <v>12</v>
      </c>
      <c r="C10" s="8" t="s">
        <v>13</v>
      </c>
    </row>
    <row r="11" customFormat="false" ht="15" hidden="false" customHeight="true" outlineLevel="0" collapsed="false">
      <c r="A11" s="7" t="s">
        <v>14</v>
      </c>
      <c r="B11" s="7" t="s">
        <v>15</v>
      </c>
      <c r="C11" s="8" t="s">
        <v>16</v>
      </c>
    </row>
    <row r="12" customFormat="false" ht="15" hidden="false" customHeight="true" outlineLevel="0" collapsed="false">
      <c r="A12" s="7" t="s">
        <v>17</v>
      </c>
      <c r="B12" s="7" t="s">
        <v>18</v>
      </c>
      <c r="C12" s="8" t="s">
        <v>19</v>
      </c>
    </row>
    <row r="13" customFormat="false" ht="15" hidden="false" customHeight="true" outlineLevel="0" collapsed="false">
      <c r="A13" s="7" t="s">
        <v>20</v>
      </c>
      <c r="B13" s="7" t="s">
        <v>21</v>
      </c>
      <c r="C13" s="8" t="s">
        <v>22</v>
      </c>
    </row>
    <row r="15" customFormat="false" ht="15" hidden="false" customHeight="true" outlineLevel="0" collapsed="false">
      <c r="A15" s="4" t="s">
        <v>23</v>
      </c>
      <c r="B15" s="4"/>
      <c r="C15" s="4"/>
      <c r="D15" s="4"/>
      <c r="E15" s="4"/>
      <c r="F15" s="4"/>
      <c r="G15" s="4"/>
      <c r="H15" s="4"/>
    </row>
    <row r="16" customFormat="false" ht="21.75" hidden="false" customHeight="true" outlineLevel="0" collapsed="false">
      <c r="A16" s="5" t="s">
        <v>24</v>
      </c>
      <c r="B16" s="5"/>
      <c r="C16" s="5"/>
      <c r="D16" s="5"/>
      <c r="E16" s="5"/>
      <c r="F16" s="5"/>
      <c r="G16" s="5"/>
      <c r="H16" s="5"/>
    </row>
    <row r="17" customFormat="false" ht="21.75" hidden="false" customHeight="true" outlineLevel="0" collapsed="false">
      <c r="A17" s="9" t="s">
        <v>25</v>
      </c>
      <c r="B17" s="9"/>
      <c r="C17" s="9"/>
      <c r="D17" s="9"/>
      <c r="E17" s="9"/>
      <c r="F17" s="9"/>
      <c r="G17" s="9"/>
      <c r="H17" s="9"/>
    </row>
    <row r="18" customFormat="false" ht="21.75" hidden="false" customHeight="true" outlineLevel="0" collapsed="false">
      <c r="A18" s="9" t="s">
        <v>26</v>
      </c>
      <c r="B18" s="9"/>
      <c r="C18" s="9"/>
      <c r="D18" s="9"/>
      <c r="E18" s="9"/>
      <c r="F18" s="9"/>
      <c r="G18" s="9"/>
      <c r="H18" s="9"/>
    </row>
    <row r="19" customFormat="false" ht="21.75" hidden="false" customHeight="true" outlineLevel="0" collapsed="false">
      <c r="A19" s="5" t="s">
        <v>27</v>
      </c>
      <c r="B19" s="5"/>
      <c r="C19" s="5"/>
      <c r="D19" s="5"/>
      <c r="E19" s="5"/>
      <c r="F19" s="5"/>
      <c r="G19" s="5"/>
      <c r="H19" s="5"/>
    </row>
    <row r="20" customFormat="false" ht="21.75" hidden="false" customHeight="true" outlineLevel="0" collapsed="false">
      <c r="A20" s="5" t="s">
        <v>28</v>
      </c>
      <c r="B20" s="5"/>
      <c r="C20" s="5"/>
      <c r="D20" s="5"/>
      <c r="E20" s="5"/>
      <c r="F20" s="5"/>
      <c r="G20" s="5"/>
      <c r="H20" s="5"/>
    </row>
  </sheetData>
  <mergeCells count="11">
    <mergeCell ref="A1:H1"/>
    <mergeCell ref="A2:H2"/>
    <mergeCell ref="A4:H4"/>
    <mergeCell ref="A5:H5"/>
    <mergeCell ref="A7:H7"/>
    <mergeCell ref="A15:H15"/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6"/>
    <col collapsed="false" customWidth="true" hidden="false" outlineLevel="0" max="5" min="3" style="1" width="9"/>
    <col collapsed="false" customWidth="true" hidden="false" outlineLevel="0" max="8" min="6" style="1" width="10"/>
    <col collapsed="false" customWidth="true" hidden="false" outlineLevel="0" max="9" min="9" style="1" width="9"/>
    <col collapsed="false" customWidth="true" hidden="false" outlineLevel="0" max="12" min="10" style="1" width="10"/>
    <col collapsed="false" customWidth="true" hidden="false" outlineLevel="0" max="13" min="13" style="1" width="8"/>
    <col collapsed="false" customWidth="true" hidden="false" outlineLevel="0" max="14" min="14" style="1" width="38"/>
  </cols>
  <sheetData>
    <row r="1" customFormat="false" ht="34.5" hidden="false" customHeight="true" outlineLevel="0" collapsed="false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39.75" hidden="false" customHeight="true" outlineLevel="0" collapsed="false">
      <c r="A2" s="11" t="s">
        <v>30</v>
      </c>
      <c r="B2" s="11" t="s">
        <v>31</v>
      </c>
      <c r="C2" s="11" t="s">
        <v>32</v>
      </c>
      <c r="D2" s="11" t="s">
        <v>33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38</v>
      </c>
      <c r="J2" s="11" t="s">
        <v>39</v>
      </c>
      <c r="K2" s="11" t="s">
        <v>40</v>
      </c>
      <c r="L2" s="11" t="s">
        <v>41</v>
      </c>
      <c r="M2" s="11" t="s">
        <v>42</v>
      </c>
      <c r="N2" s="11" t="s">
        <v>43</v>
      </c>
    </row>
    <row r="3" customFormat="false" ht="15" hidden="false" customHeight="true" outlineLevel="0" collapsed="false">
      <c r="A3" s="12" t="s">
        <v>44</v>
      </c>
      <c r="B3" s="13" t="s">
        <v>45</v>
      </c>
      <c r="C3" s="13" t="s">
        <v>46</v>
      </c>
      <c r="D3" s="13" t="n">
        <v>2.8</v>
      </c>
      <c r="E3" s="14" t="s">
        <v>47</v>
      </c>
      <c r="F3" s="13" t="n">
        <v>1200</v>
      </c>
      <c r="G3" s="15" t="n">
        <f aca="false">ROUND(F3/D3,1)</f>
        <v>428.6</v>
      </c>
      <c r="H3" s="14" t="s">
        <v>48</v>
      </c>
      <c r="I3" s="13" t="n">
        <v>350</v>
      </c>
      <c r="J3" s="13" t="s">
        <v>49</v>
      </c>
      <c r="K3" s="14" t="s">
        <v>50</v>
      </c>
      <c r="L3" s="16" t="n">
        <v>88.8</v>
      </c>
      <c r="M3" s="13" t="n">
        <v>1</v>
      </c>
      <c r="N3" s="13" t="s">
        <v>51</v>
      </c>
    </row>
    <row r="4" customFormat="false" ht="15" hidden="false" customHeight="true" outlineLevel="0" collapsed="false">
      <c r="A4" s="12" t="s">
        <v>44</v>
      </c>
      <c r="B4" s="13" t="s">
        <v>45</v>
      </c>
      <c r="C4" s="13" t="s">
        <v>52</v>
      </c>
      <c r="D4" s="13" t="n">
        <v>2.6</v>
      </c>
      <c r="E4" s="14" t="s">
        <v>47</v>
      </c>
      <c r="F4" s="13" t="n">
        <v>800</v>
      </c>
      <c r="G4" s="15" t="n">
        <f aca="false">ROUND(F4/D4,1)</f>
        <v>307.7</v>
      </c>
      <c r="H4" s="14" t="s">
        <v>53</v>
      </c>
      <c r="I4" s="13" t="n">
        <v>280</v>
      </c>
      <c r="J4" s="13" t="s">
        <v>49</v>
      </c>
      <c r="K4" s="14" t="s">
        <v>50</v>
      </c>
      <c r="L4" s="16" t="n">
        <v>84.9</v>
      </c>
      <c r="M4" s="13" t="n">
        <v>2</v>
      </c>
      <c r="N4" s="13" t="s">
        <v>54</v>
      </c>
    </row>
    <row r="5" customFormat="false" ht="15" hidden="false" customHeight="true" outlineLevel="0" collapsed="false">
      <c r="A5" s="12" t="s">
        <v>44</v>
      </c>
      <c r="B5" s="13" t="s">
        <v>55</v>
      </c>
      <c r="C5" s="13" t="s">
        <v>56</v>
      </c>
      <c r="D5" s="13" t="n">
        <v>4.3</v>
      </c>
      <c r="E5" s="14" t="s">
        <v>47</v>
      </c>
      <c r="F5" s="13" t="n">
        <v>750</v>
      </c>
      <c r="G5" s="15" t="n">
        <f aca="false">ROUND(F5/D5,1)</f>
        <v>174.4</v>
      </c>
      <c r="H5" s="14" t="s">
        <v>57</v>
      </c>
      <c r="I5" s="13" t="n">
        <v>380</v>
      </c>
      <c r="J5" s="13" t="s">
        <v>49</v>
      </c>
      <c r="K5" s="14" t="s">
        <v>50</v>
      </c>
      <c r="L5" s="16" t="n">
        <v>76.9</v>
      </c>
      <c r="M5" s="13" t="n">
        <v>3</v>
      </c>
      <c r="N5" s="13" t="s">
        <v>58</v>
      </c>
    </row>
    <row r="6" customFormat="false" ht="15" hidden="false" customHeight="true" outlineLevel="0" collapsed="false">
      <c r="A6" s="17" t="s">
        <v>59</v>
      </c>
      <c r="B6" s="13" t="s">
        <v>60</v>
      </c>
      <c r="C6" s="13" t="s">
        <v>61</v>
      </c>
      <c r="D6" s="13" t="n">
        <v>5.8</v>
      </c>
      <c r="E6" s="14" t="s">
        <v>47</v>
      </c>
      <c r="F6" s="13" t="n">
        <v>1100</v>
      </c>
      <c r="G6" s="15" t="n">
        <f aca="false">ROUND(F6/D6,1)</f>
        <v>189.7</v>
      </c>
      <c r="H6" s="14" t="s">
        <v>53</v>
      </c>
      <c r="I6" s="13" t="n">
        <v>420</v>
      </c>
      <c r="J6" s="13" t="s">
        <v>62</v>
      </c>
      <c r="K6" s="14" t="s">
        <v>50</v>
      </c>
      <c r="L6" s="16" t="n">
        <v>72.3</v>
      </c>
      <c r="M6" s="13" t="n">
        <v>4</v>
      </c>
      <c r="N6" s="13" t="s">
        <v>63</v>
      </c>
    </row>
    <row r="7" customFormat="false" ht="15" hidden="false" customHeight="true" outlineLevel="0" collapsed="false">
      <c r="A7" s="17" t="s">
        <v>59</v>
      </c>
      <c r="B7" s="13" t="s">
        <v>64</v>
      </c>
      <c r="C7" s="13" t="s">
        <v>65</v>
      </c>
      <c r="D7" s="13" t="n">
        <v>4.7</v>
      </c>
      <c r="E7" s="14" t="s">
        <v>47</v>
      </c>
      <c r="F7" s="13" t="n">
        <v>480</v>
      </c>
      <c r="G7" s="15" t="n">
        <f aca="false">ROUND(F7/D7,1)</f>
        <v>102.1</v>
      </c>
      <c r="H7" s="14" t="s">
        <v>66</v>
      </c>
      <c r="I7" s="13" t="n">
        <v>310</v>
      </c>
      <c r="J7" s="13" t="s">
        <v>49</v>
      </c>
      <c r="K7" s="14" t="s">
        <v>50</v>
      </c>
      <c r="L7" s="16" t="n">
        <v>69.1</v>
      </c>
      <c r="M7" s="13" t="n">
        <v>5</v>
      </c>
      <c r="N7" s="13" t="s">
        <v>67</v>
      </c>
    </row>
    <row r="8" customFormat="false" ht="15" hidden="false" customHeight="true" outlineLevel="0" collapsed="false">
      <c r="A8" s="17" t="s">
        <v>59</v>
      </c>
      <c r="B8" s="13" t="s">
        <v>45</v>
      </c>
      <c r="C8" s="13" t="s">
        <v>68</v>
      </c>
      <c r="D8" s="13" t="n">
        <v>3.1</v>
      </c>
      <c r="E8" s="14" t="s">
        <v>47</v>
      </c>
      <c r="F8" s="13" t="n">
        <v>650</v>
      </c>
      <c r="G8" s="15" t="n">
        <f aca="false">ROUND(F8/D8,1)</f>
        <v>209.7</v>
      </c>
      <c r="H8" s="14" t="s">
        <v>53</v>
      </c>
      <c r="I8" s="13" t="n">
        <v>250</v>
      </c>
      <c r="J8" s="13" t="s">
        <v>49</v>
      </c>
      <c r="K8" s="14" t="s">
        <v>50</v>
      </c>
      <c r="L8" s="16" t="n">
        <v>76.4</v>
      </c>
      <c r="M8" s="13" t="n">
        <v>6</v>
      </c>
      <c r="N8" s="13" t="s">
        <v>69</v>
      </c>
    </row>
    <row r="9" customFormat="false" ht="15" hidden="false" customHeight="true" outlineLevel="0" collapsed="false">
      <c r="A9" s="17" t="s">
        <v>59</v>
      </c>
      <c r="B9" s="13" t="s">
        <v>70</v>
      </c>
      <c r="C9" s="13" t="s">
        <v>71</v>
      </c>
      <c r="D9" s="13" t="n">
        <v>0.9</v>
      </c>
      <c r="E9" s="14" t="s">
        <v>47</v>
      </c>
      <c r="F9" s="13" t="n">
        <v>120</v>
      </c>
      <c r="G9" s="15" t="n">
        <f aca="false">ROUND(F9/D9,1)</f>
        <v>133.3</v>
      </c>
      <c r="H9" s="14" t="s">
        <v>72</v>
      </c>
      <c r="I9" s="13" t="n">
        <v>80</v>
      </c>
      <c r="J9" s="13" t="s">
        <v>73</v>
      </c>
      <c r="K9" s="14" t="s">
        <v>50</v>
      </c>
      <c r="L9" s="16" t="n">
        <v>69.9</v>
      </c>
      <c r="M9" s="13" t="n">
        <v>7</v>
      </c>
      <c r="N9" s="13" t="s">
        <v>74</v>
      </c>
    </row>
    <row r="10" customFormat="false" ht="15" hidden="false" customHeight="true" outlineLevel="0" collapsed="false">
      <c r="A10" s="18" t="s">
        <v>75</v>
      </c>
      <c r="B10" s="13" t="s">
        <v>60</v>
      </c>
      <c r="C10" s="13" t="s">
        <v>76</v>
      </c>
      <c r="D10" s="13" t="n">
        <v>9.5</v>
      </c>
      <c r="E10" s="14" t="s">
        <v>47</v>
      </c>
      <c r="F10" s="13" t="n">
        <v>900</v>
      </c>
      <c r="G10" s="15" t="n">
        <f aca="false">ROUND(F10/D10,1)</f>
        <v>94.7</v>
      </c>
      <c r="H10" s="14" t="s">
        <v>53</v>
      </c>
      <c r="I10" s="13" t="n">
        <v>520</v>
      </c>
      <c r="J10" s="13" t="s">
        <v>62</v>
      </c>
      <c r="K10" s="13" t="s">
        <v>77</v>
      </c>
      <c r="L10" s="16" t="n">
        <v>63.4</v>
      </c>
      <c r="M10" s="13" t="n">
        <v>8</v>
      </c>
      <c r="N10" s="13" t="s">
        <v>78</v>
      </c>
    </row>
    <row r="11" customFormat="false" ht="15" hidden="false" customHeight="true" outlineLevel="0" collapsed="false">
      <c r="A11" s="18" t="s">
        <v>75</v>
      </c>
      <c r="B11" s="13" t="s">
        <v>64</v>
      </c>
      <c r="C11" s="13" t="s">
        <v>79</v>
      </c>
      <c r="D11" s="13" t="n">
        <v>6.3</v>
      </c>
      <c r="E11" s="14" t="s">
        <v>47</v>
      </c>
      <c r="F11" s="13" t="n">
        <v>420</v>
      </c>
      <c r="G11" s="15" t="n">
        <f aca="false">ROUND(F11/D11,1)</f>
        <v>66.7</v>
      </c>
      <c r="H11" s="13" t="s">
        <v>80</v>
      </c>
      <c r="I11" s="13" t="n">
        <v>350</v>
      </c>
      <c r="J11" s="13" t="s">
        <v>49</v>
      </c>
      <c r="K11" s="14" t="s">
        <v>50</v>
      </c>
      <c r="L11" s="16" t="n">
        <v>66.7</v>
      </c>
      <c r="M11" s="13" t="n">
        <v>9</v>
      </c>
      <c r="N11" s="13" t="s">
        <v>81</v>
      </c>
    </row>
    <row r="12" customFormat="false" ht="15" hidden="false" customHeight="true" outlineLevel="0" collapsed="false">
      <c r="A12" s="18" t="s">
        <v>75</v>
      </c>
      <c r="B12" s="13" t="s">
        <v>55</v>
      </c>
      <c r="C12" s="13" t="s">
        <v>82</v>
      </c>
      <c r="D12" s="13" t="n">
        <v>12.3</v>
      </c>
      <c r="E12" s="14" t="s">
        <v>47</v>
      </c>
      <c r="F12" s="13" t="n">
        <v>1500</v>
      </c>
      <c r="G12" s="15" t="n">
        <f aca="false">ROUND(F12/D12,1)</f>
        <v>122</v>
      </c>
      <c r="H12" s="14" t="s">
        <v>83</v>
      </c>
      <c r="I12" s="13" t="n">
        <v>780</v>
      </c>
      <c r="J12" s="13" t="s">
        <v>84</v>
      </c>
      <c r="K12" s="13" t="s">
        <v>77</v>
      </c>
      <c r="L12" s="16" t="n">
        <v>54.8</v>
      </c>
      <c r="M12" s="13" t="n">
        <v>10</v>
      </c>
      <c r="N12" s="13" t="s">
        <v>85</v>
      </c>
    </row>
    <row r="13" customFormat="false" ht="15" hidden="false" customHeight="true" outlineLevel="0" collapsed="false">
      <c r="A13" s="18" t="s">
        <v>75</v>
      </c>
      <c r="B13" s="13" t="s">
        <v>45</v>
      </c>
      <c r="C13" s="13" t="s">
        <v>86</v>
      </c>
      <c r="D13" s="13" t="n">
        <v>4</v>
      </c>
      <c r="E13" s="14" t="s">
        <v>47</v>
      </c>
      <c r="F13" s="13" t="n">
        <v>600</v>
      </c>
      <c r="G13" s="15" t="n">
        <f aca="false">ROUND(F13/D13,1)</f>
        <v>150</v>
      </c>
      <c r="H13" s="14" t="s">
        <v>87</v>
      </c>
      <c r="I13" s="13" t="n">
        <v>300</v>
      </c>
      <c r="J13" s="13" t="s">
        <v>62</v>
      </c>
      <c r="K13" s="14" t="s">
        <v>50</v>
      </c>
      <c r="L13" s="16" t="n">
        <v>66.8</v>
      </c>
      <c r="M13" s="13" t="n">
        <v>11</v>
      </c>
      <c r="N13" s="13" t="s">
        <v>88</v>
      </c>
    </row>
    <row r="14" customFormat="false" ht="15" hidden="false" customHeight="true" outlineLevel="0" collapsed="false">
      <c r="A14" s="18" t="s">
        <v>75</v>
      </c>
      <c r="B14" s="13" t="s">
        <v>70</v>
      </c>
      <c r="C14" s="13" t="s">
        <v>89</v>
      </c>
      <c r="D14" s="13" t="n">
        <v>24.5</v>
      </c>
      <c r="E14" s="14" t="s">
        <v>47</v>
      </c>
      <c r="F14" s="13" t="n">
        <v>4700</v>
      </c>
      <c r="G14" s="15" t="n">
        <f aca="false">ROUND(F14/D14,1)</f>
        <v>191.8</v>
      </c>
      <c r="H14" s="14" t="s">
        <v>90</v>
      </c>
      <c r="I14" s="13" t="n">
        <v>1800</v>
      </c>
      <c r="J14" s="13" t="s">
        <v>84</v>
      </c>
      <c r="K14" s="14" t="s">
        <v>50</v>
      </c>
      <c r="L14" s="16" t="n">
        <v>54.7</v>
      </c>
      <c r="M14" s="13" t="n">
        <v>12</v>
      </c>
      <c r="N14" s="13" t="s">
        <v>91</v>
      </c>
    </row>
    <row r="15" customFormat="false" ht="15" hidden="false" customHeight="true" outlineLevel="0" collapsed="false">
      <c r="A15" s="19" t="s">
        <v>92</v>
      </c>
      <c r="B15" s="13" t="s">
        <v>64</v>
      </c>
      <c r="C15" s="13" t="s">
        <v>93</v>
      </c>
      <c r="D15" s="13" t="n">
        <v>2.8</v>
      </c>
      <c r="E15" s="14" t="s">
        <v>47</v>
      </c>
      <c r="F15" s="13" t="n">
        <v>350</v>
      </c>
      <c r="G15" s="15" t="n">
        <f aca="false">ROUND(F15/D15,1)</f>
        <v>125</v>
      </c>
      <c r="H15" s="14" t="s">
        <v>94</v>
      </c>
      <c r="I15" s="13" t="n">
        <v>200</v>
      </c>
      <c r="J15" s="13" t="s">
        <v>49</v>
      </c>
      <c r="K15" s="14" t="s">
        <v>50</v>
      </c>
      <c r="L15" s="16" t="n">
        <v>68.7</v>
      </c>
      <c r="M15" s="13" t="n">
        <v>13</v>
      </c>
      <c r="N15" s="13" t="s">
        <v>95</v>
      </c>
    </row>
    <row r="16" customFormat="false" ht="15" hidden="false" customHeight="true" outlineLevel="0" collapsed="false">
      <c r="A16" s="19" t="s">
        <v>92</v>
      </c>
      <c r="B16" s="13" t="s">
        <v>45</v>
      </c>
      <c r="C16" s="13" t="s">
        <v>96</v>
      </c>
      <c r="D16" s="13" t="n">
        <v>8.1</v>
      </c>
      <c r="E16" s="14" t="s">
        <v>50</v>
      </c>
      <c r="F16" s="13" t="n">
        <v>2200</v>
      </c>
      <c r="G16" s="15" t="n">
        <f aca="false">ROUND(F16/D16,1)</f>
        <v>271.6</v>
      </c>
      <c r="H16" s="14" t="s">
        <v>53</v>
      </c>
      <c r="I16" s="13" t="n">
        <v>1100</v>
      </c>
      <c r="J16" s="13" t="s">
        <v>97</v>
      </c>
      <c r="K16" s="14" t="s">
        <v>50</v>
      </c>
      <c r="L16" s="16" t="n">
        <v>67.5</v>
      </c>
      <c r="M16" s="13" t="n">
        <v>14</v>
      </c>
      <c r="N16" s="13" t="s">
        <v>98</v>
      </c>
    </row>
    <row r="17" customFormat="false" ht="15" hidden="false" customHeight="true" outlineLevel="0" collapsed="false">
      <c r="A17" s="19" t="s">
        <v>92</v>
      </c>
      <c r="B17" s="13" t="s">
        <v>64</v>
      </c>
      <c r="C17" s="13" t="s">
        <v>99</v>
      </c>
      <c r="D17" s="13" t="n">
        <v>26.8</v>
      </c>
      <c r="E17" s="14" t="s">
        <v>50</v>
      </c>
      <c r="F17" s="13" t="n">
        <v>2400</v>
      </c>
      <c r="G17" s="15" t="n">
        <f aca="false">ROUND(F17/D17,1)</f>
        <v>89.6</v>
      </c>
      <c r="H17" s="14" t="s">
        <v>83</v>
      </c>
      <c r="I17" s="13" t="n">
        <v>1500</v>
      </c>
      <c r="J17" s="13" t="s">
        <v>97</v>
      </c>
      <c r="K17" s="13" t="s">
        <v>77</v>
      </c>
      <c r="L17" s="16" t="n">
        <v>40.6</v>
      </c>
      <c r="M17" s="13" t="n">
        <v>15</v>
      </c>
      <c r="N17" s="13" t="s">
        <v>100</v>
      </c>
    </row>
    <row r="19" customFormat="false" ht="11.25" hidden="false" customHeight="true" outlineLevel="0" collapsed="false">
      <c r="A19" s="20" t="s">
        <v>101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</sheetData>
  <mergeCells count="2">
    <mergeCell ref="A1:N1"/>
    <mergeCell ref="A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13" min="2" style="1" width="7"/>
    <col collapsed="false" customWidth="true" hidden="false" outlineLevel="0" max="14" min="14" style="1" width="12"/>
  </cols>
  <sheetData>
    <row r="1" customFormat="false" ht="34.5" hidden="false" customHeight="true" outlineLevel="0" collapsed="false">
      <c r="A1" s="10" t="s">
        <v>102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5" hidden="false" customHeight="true" outlineLevel="0" collapsed="false">
      <c r="A2" s="11" t="s">
        <v>32</v>
      </c>
      <c r="B2" s="12" t="s">
        <v>103</v>
      </c>
      <c r="C2" s="12" t="s">
        <v>104</v>
      </c>
      <c r="D2" s="12" t="s">
        <v>105</v>
      </c>
      <c r="E2" s="12" t="s">
        <v>106</v>
      </c>
      <c r="F2" s="12" t="s">
        <v>107</v>
      </c>
      <c r="G2" s="12" t="s">
        <v>108</v>
      </c>
      <c r="H2" s="12" t="s">
        <v>109</v>
      </c>
      <c r="I2" s="12" t="s">
        <v>110</v>
      </c>
      <c r="J2" s="12" t="s">
        <v>111</v>
      </c>
      <c r="K2" s="12" t="s">
        <v>112</v>
      </c>
      <c r="L2" s="12" t="s">
        <v>113</v>
      </c>
      <c r="M2" s="12" t="s">
        <v>114</v>
      </c>
      <c r="N2" s="11" t="s">
        <v>115</v>
      </c>
    </row>
    <row r="3" customFormat="false" ht="15" hidden="false" customHeight="true" outlineLevel="0" collapsed="false">
      <c r="A3" s="7" t="s">
        <v>46</v>
      </c>
      <c r="B3" s="21" t="n">
        <v>15</v>
      </c>
      <c r="C3" s="21" t="n">
        <v>20</v>
      </c>
      <c r="D3" s="22" t="n">
        <v>25</v>
      </c>
      <c r="E3" s="23" t="n">
        <v>40</v>
      </c>
      <c r="F3" s="23" t="n">
        <v>55</v>
      </c>
      <c r="G3" s="24" t="n">
        <v>80</v>
      </c>
      <c r="H3" s="24" t="n">
        <v>100</v>
      </c>
      <c r="I3" s="24" t="n">
        <v>95</v>
      </c>
      <c r="J3" s="23" t="n">
        <v>50</v>
      </c>
      <c r="K3" s="22" t="n">
        <v>30</v>
      </c>
      <c r="L3" s="21" t="n">
        <v>18</v>
      </c>
      <c r="M3" s="21" t="n">
        <v>12</v>
      </c>
      <c r="N3" s="25" t="n">
        <f aca="false">ROUND(MAX(B3:M3)/AVERAGE(B3:M3),2)</f>
        <v>2.22</v>
      </c>
    </row>
    <row r="4" customFormat="false" ht="15" hidden="false" customHeight="true" outlineLevel="0" collapsed="false">
      <c r="A4" s="7" t="s">
        <v>52</v>
      </c>
      <c r="B4" s="21" t="n">
        <v>12</v>
      </c>
      <c r="C4" s="21" t="n">
        <v>15</v>
      </c>
      <c r="D4" s="21" t="n">
        <v>20</v>
      </c>
      <c r="E4" s="22" t="n">
        <v>35</v>
      </c>
      <c r="F4" s="23" t="n">
        <v>50</v>
      </c>
      <c r="G4" s="23" t="n">
        <v>75</v>
      </c>
      <c r="H4" s="24" t="n">
        <v>100</v>
      </c>
      <c r="I4" s="24" t="n">
        <v>90</v>
      </c>
      <c r="J4" s="23" t="n">
        <v>45</v>
      </c>
      <c r="K4" s="22" t="n">
        <v>25</v>
      </c>
      <c r="L4" s="21" t="n">
        <v>15</v>
      </c>
      <c r="M4" s="21" t="n">
        <v>10</v>
      </c>
      <c r="N4" s="25" t="n">
        <f aca="false">ROUND(MAX(B4:M4)/AVERAGE(B4:M4),2)</f>
        <v>2.44</v>
      </c>
    </row>
    <row r="5" customFormat="false" ht="15" hidden="false" customHeight="true" outlineLevel="0" collapsed="false">
      <c r="A5" s="7" t="s">
        <v>56</v>
      </c>
      <c r="B5" s="21" t="n">
        <v>20</v>
      </c>
      <c r="C5" s="22" t="n">
        <v>25</v>
      </c>
      <c r="D5" s="22" t="n">
        <v>35</v>
      </c>
      <c r="E5" s="23" t="n">
        <v>50</v>
      </c>
      <c r="F5" s="23" t="n">
        <v>70</v>
      </c>
      <c r="G5" s="24" t="n">
        <v>80</v>
      </c>
      <c r="H5" s="24" t="n">
        <v>90</v>
      </c>
      <c r="I5" s="24" t="n">
        <v>100</v>
      </c>
      <c r="J5" s="23" t="n">
        <v>75</v>
      </c>
      <c r="K5" s="23" t="n">
        <v>50</v>
      </c>
      <c r="L5" s="22" t="n">
        <v>30</v>
      </c>
      <c r="M5" s="21" t="n">
        <v>20</v>
      </c>
      <c r="N5" s="25" t="n">
        <f aca="false">ROUND(MAX(B5:M5)/AVERAGE(B5:M5),2)</f>
        <v>1.86</v>
      </c>
    </row>
    <row r="6" customFormat="false" ht="15" hidden="false" customHeight="true" outlineLevel="0" collapsed="false">
      <c r="A6" s="7" t="s">
        <v>61</v>
      </c>
      <c r="B6" s="21" t="n">
        <v>10</v>
      </c>
      <c r="C6" s="21" t="n">
        <v>12</v>
      </c>
      <c r="D6" s="21" t="n">
        <v>20</v>
      </c>
      <c r="E6" s="22" t="n">
        <v>35</v>
      </c>
      <c r="F6" s="23" t="n">
        <v>50</v>
      </c>
      <c r="G6" s="23" t="n">
        <v>75</v>
      </c>
      <c r="H6" s="24" t="n">
        <v>100</v>
      </c>
      <c r="I6" s="24" t="n">
        <v>95</v>
      </c>
      <c r="J6" s="23" t="n">
        <v>40</v>
      </c>
      <c r="K6" s="22" t="n">
        <v>25</v>
      </c>
      <c r="L6" s="21" t="n">
        <v>15</v>
      </c>
      <c r="M6" s="21" t="n">
        <v>10</v>
      </c>
      <c r="N6" s="25" t="n">
        <f aca="false">ROUND(MAX(B6:M6)/AVERAGE(B6:M6),2)</f>
        <v>2.46</v>
      </c>
    </row>
    <row r="7" customFormat="false" ht="15" hidden="false" customHeight="true" outlineLevel="0" collapsed="false">
      <c r="A7" s="7" t="s">
        <v>65</v>
      </c>
      <c r="B7" s="21" t="n">
        <v>15</v>
      </c>
      <c r="C7" s="21" t="n">
        <v>18</v>
      </c>
      <c r="D7" s="22" t="n">
        <v>25</v>
      </c>
      <c r="E7" s="23" t="n">
        <v>40</v>
      </c>
      <c r="F7" s="23" t="n">
        <v>55</v>
      </c>
      <c r="G7" s="23" t="n">
        <v>70</v>
      </c>
      <c r="H7" s="24" t="n">
        <v>90</v>
      </c>
      <c r="I7" s="24" t="n">
        <v>100</v>
      </c>
      <c r="J7" s="24" t="n">
        <v>80</v>
      </c>
      <c r="K7" s="23" t="n">
        <v>45</v>
      </c>
      <c r="L7" s="22" t="n">
        <v>25</v>
      </c>
      <c r="M7" s="21" t="n">
        <v>15</v>
      </c>
      <c r="N7" s="25" t="n">
        <f aca="false">ROUND(MAX(B7:M7)/AVERAGE(B7:M7),2)</f>
        <v>2.08</v>
      </c>
    </row>
    <row r="8" customFormat="false" ht="15" hidden="false" customHeight="true" outlineLevel="0" collapsed="false">
      <c r="A8" s="7" t="s">
        <v>68</v>
      </c>
      <c r="B8" s="22" t="n">
        <v>25</v>
      </c>
      <c r="C8" s="21" t="n">
        <v>20</v>
      </c>
      <c r="D8" s="21" t="n">
        <v>18</v>
      </c>
      <c r="E8" s="22" t="n">
        <v>30</v>
      </c>
      <c r="F8" s="23" t="n">
        <v>50</v>
      </c>
      <c r="G8" s="23" t="n">
        <v>70</v>
      </c>
      <c r="H8" s="24" t="n">
        <v>100</v>
      </c>
      <c r="I8" s="24" t="n">
        <v>90</v>
      </c>
      <c r="J8" s="23" t="n">
        <v>45</v>
      </c>
      <c r="K8" s="22" t="n">
        <v>35</v>
      </c>
      <c r="L8" s="21" t="n">
        <v>20</v>
      </c>
      <c r="M8" s="22" t="n">
        <v>30</v>
      </c>
      <c r="N8" s="25" t="n">
        <f aca="false">ROUND(MAX(B8:M8)/AVERAGE(B8:M8),2)</f>
        <v>2.25</v>
      </c>
    </row>
    <row r="9" customFormat="false" ht="15" hidden="false" customHeight="true" outlineLevel="0" collapsed="false">
      <c r="A9" s="7" t="s">
        <v>71</v>
      </c>
      <c r="B9" s="21" t="n">
        <v>5</v>
      </c>
      <c r="C9" s="21" t="n">
        <v>5</v>
      </c>
      <c r="D9" s="21" t="n">
        <v>15</v>
      </c>
      <c r="E9" s="22" t="n">
        <v>30</v>
      </c>
      <c r="F9" s="23" t="n">
        <v>50</v>
      </c>
      <c r="G9" s="24" t="n">
        <v>80</v>
      </c>
      <c r="H9" s="24" t="n">
        <v>100</v>
      </c>
      <c r="I9" s="24" t="n">
        <v>95</v>
      </c>
      <c r="J9" s="23" t="n">
        <v>60</v>
      </c>
      <c r="K9" s="22" t="n">
        <v>30</v>
      </c>
      <c r="L9" s="21" t="n">
        <v>10</v>
      </c>
      <c r="M9" s="21" t="n">
        <v>5</v>
      </c>
      <c r="N9" s="25" t="n">
        <f aca="false">ROUND(MAX(B9:M9)/AVERAGE(B9:M9),2)</f>
        <v>2.47</v>
      </c>
    </row>
    <row r="10" customFormat="false" ht="15" hidden="false" customHeight="true" outlineLevel="0" collapsed="false">
      <c r="A10" s="7" t="s">
        <v>76</v>
      </c>
      <c r="B10" s="21" t="n">
        <v>8</v>
      </c>
      <c r="C10" s="21" t="n">
        <v>10</v>
      </c>
      <c r="D10" s="21" t="n">
        <v>18</v>
      </c>
      <c r="E10" s="22" t="n">
        <v>30</v>
      </c>
      <c r="F10" s="23" t="n">
        <v>50</v>
      </c>
      <c r="G10" s="23" t="n">
        <v>70</v>
      </c>
      <c r="H10" s="24" t="n">
        <v>100</v>
      </c>
      <c r="I10" s="24" t="n">
        <v>90</v>
      </c>
      <c r="J10" s="22" t="n">
        <v>35</v>
      </c>
      <c r="K10" s="21" t="n">
        <v>20</v>
      </c>
      <c r="L10" s="21" t="n">
        <v>12</v>
      </c>
      <c r="M10" s="21" t="n">
        <v>8</v>
      </c>
      <c r="N10" s="25" t="n">
        <f aca="false">ROUND(MAX(B10:M10)/AVERAGE(B10:M10),2)</f>
        <v>2.66</v>
      </c>
    </row>
    <row r="11" customFormat="false" ht="15" hidden="false" customHeight="true" outlineLevel="0" collapsed="false">
      <c r="A11" s="7" t="s">
        <v>86</v>
      </c>
      <c r="B11" s="22" t="n">
        <v>35</v>
      </c>
      <c r="C11" s="22" t="n">
        <v>30</v>
      </c>
      <c r="D11" s="21" t="n">
        <v>20</v>
      </c>
      <c r="E11" s="22" t="n">
        <v>25</v>
      </c>
      <c r="F11" s="23" t="n">
        <v>40</v>
      </c>
      <c r="G11" s="23" t="n">
        <v>55</v>
      </c>
      <c r="H11" s="24" t="n">
        <v>80</v>
      </c>
      <c r="I11" s="24" t="n">
        <v>100</v>
      </c>
      <c r="J11" s="23" t="n">
        <v>45</v>
      </c>
      <c r="K11" s="22" t="n">
        <v>35</v>
      </c>
      <c r="L11" s="22" t="n">
        <v>25</v>
      </c>
      <c r="M11" s="23" t="n">
        <v>45</v>
      </c>
      <c r="N11" s="25" t="n">
        <f aca="false">ROUND(MAX(B11:M11)/AVERAGE(B11:M11),2)</f>
        <v>2.24</v>
      </c>
    </row>
    <row r="12" customFormat="false" ht="15" hidden="false" customHeight="true" outlineLevel="0" collapsed="false">
      <c r="A12" s="7" t="s">
        <v>116</v>
      </c>
      <c r="B12" s="22" t="n">
        <v>25</v>
      </c>
      <c r="C12" s="22" t="n">
        <v>28</v>
      </c>
      <c r="D12" s="22" t="n">
        <v>35</v>
      </c>
      <c r="E12" s="23" t="n">
        <v>45</v>
      </c>
      <c r="F12" s="23" t="n">
        <v>55</v>
      </c>
      <c r="G12" s="23" t="n">
        <v>70</v>
      </c>
      <c r="H12" s="24" t="n">
        <v>90</v>
      </c>
      <c r="I12" s="24" t="n">
        <v>100</v>
      </c>
      <c r="J12" s="23" t="n">
        <v>75</v>
      </c>
      <c r="K12" s="23" t="n">
        <v>50</v>
      </c>
      <c r="L12" s="22" t="n">
        <v>35</v>
      </c>
      <c r="M12" s="22" t="n">
        <v>25</v>
      </c>
      <c r="N12" s="25" t="n">
        <f aca="false">ROUND(MAX(B12:M12)/AVERAGE(B12:M12),2)</f>
        <v>1.9</v>
      </c>
    </row>
    <row r="33" customFormat="false" ht="15" hidden="false" customHeight="true" outlineLevel="0" collapsed="false">
      <c r="A33" s="26" t="s">
        <v>117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customFormat="false" ht="12" hidden="false" customHeight="true" outlineLevel="0" collapsed="false">
      <c r="A34" s="27" t="s">
        <v>118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 customFormat="false" ht="12" hidden="false" customHeight="true" outlineLevel="0" collapsed="false">
      <c r="A35" s="27" t="s">
        <v>119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customFormat="false" ht="12" hidden="false" customHeight="true" outlineLevel="0" collapsed="false">
      <c r="A36" s="27" t="s">
        <v>120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customFormat="false" ht="12" hidden="false" customHeight="true" outlineLevel="0" collapsed="false">
      <c r="A37" s="27" t="s">
        <v>121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 customFormat="false" ht="12" hidden="false" customHeight="true" outlineLevel="0" collapsed="false">
      <c r="A38" s="27" t="s">
        <v>122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</sheetData>
  <mergeCells count="7">
    <mergeCell ref="A1:N1"/>
    <mergeCell ref="A33:N33"/>
    <mergeCell ref="A34:N34"/>
    <mergeCell ref="A35:N35"/>
    <mergeCell ref="A36:N36"/>
    <mergeCell ref="A37:N37"/>
    <mergeCell ref="A38:N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34.5" hidden="false" customHeight="true" outlineLevel="0" collapsed="false">
      <c r="A1" s="10" t="s">
        <v>123</v>
      </c>
      <c r="B1" s="10"/>
      <c r="C1" s="10"/>
      <c r="D1" s="10"/>
      <c r="E1" s="10"/>
      <c r="F1" s="10"/>
      <c r="G1" s="10"/>
      <c r="H1" s="10"/>
      <c r="I1" s="10"/>
    </row>
    <row r="2" customFormat="false" ht="34.5" hidden="false" customHeight="true" outlineLevel="0" collapsed="false">
      <c r="A2" s="11" t="s">
        <v>32</v>
      </c>
      <c r="B2" s="11" t="s">
        <v>124</v>
      </c>
      <c r="C2" s="11" t="s">
        <v>125</v>
      </c>
      <c r="D2" s="11" t="s">
        <v>126</v>
      </c>
      <c r="E2" s="11" t="s">
        <v>127</v>
      </c>
      <c r="F2" s="11" t="s">
        <v>128</v>
      </c>
      <c r="G2" s="11" t="s">
        <v>129</v>
      </c>
      <c r="H2" s="11" t="s">
        <v>130</v>
      </c>
      <c r="I2" s="11" t="s">
        <v>131</v>
      </c>
    </row>
    <row r="3" customFormat="false" ht="15" hidden="false" customHeight="true" outlineLevel="0" collapsed="false">
      <c r="A3" s="13" t="s">
        <v>46</v>
      </c>
      <c r="B3" s="28" t="s">
        <v>132</v>
      </c>
      <c r="C3" s="29" t="s">
        <v>50</v>
      </c>
      <c r="D3" s="28" t="s">
        <v>132</v>
      </c>
      <c r="E3" s="29" t="s">
        <v>50</v>
      </c>
      <c r="F3" s="14" t="s">
        <v>133</v>
      </c>
      <c r="G3" s="28" t="s">
        <v>134</v>
      </c>
      <c r="H3" s="14" t="s">
        <v>135</v>
      </c>
      <c r="I3" s="14" t="s">
        <v>136</v>
      </c>
    </row>
    <row r="4" customFormat="false" ht="15" hidden="false" customHeight="true" outlineLevel="0" collapsed="false">
      <c r="A4" s="13" t="s">
        <v>52</v>
      </c>
      <c r="B4" s="30" t="s">
        <v>137</v>
      </c>
      <c r="C4" s="29" t="s">
        <v>50</v>
      </c>
      <c r="D4" s="30" t="s">
        <v>137</v>
      </c>
      <c r="E4" s="29" t="s">
        <v>50</v>
      </c>
      <c r="F4" s="13" t="s">
        <v>138</v>
      </c>
      <c r="G4" s="30" t="s">
        <v>139</v>
      </c>
      <c r="H4" s="14" t="s">
        <v>140</v>
      </c>
      <c r="I4" s="14" t="s">
        <v>141</v>
      </c>
    </row>
    <row r="5" customFormat="false" ht="15" hidden="false" customHeight="true" outlineLevel="0" collapsed="false">
      <c r="A5" s="13" t="s">
        <v>56</v>
      </c>
      <c r="B5" s="28" t="s">
        <v>132</v>
      </c>
      <c r="C5" s="29" t="s">
        <v>50</v>
      </c>
      <c r="D5" s="30" t="s">
        <v>137</v>
      </c>
      <c r="E5" s="29" t="s">
        <v>50</v>
      </c>
      <c r="F5" s="14" t="s">
        <v>142</v>
      </c>
      <c r="G5" s="28" t="s">
        <v>134</v>
      </c>
      <c r="H5" s="14" t="s">
        <v>143</v>
      </c>
      <c r="I5" s="14" t="s">
        <v>144</v>
      </c>
    </row>
    <row r="6" customFormat="false" ht="15" hidden="false" customHeight="true" outlineLevel="0" collapsed="false">
      <c r="A6" s="13" t="s">
        <v>61</v>
      </c>
      <c r="B6" s="28" t="s">
        <v>132</v>
      </c>
      <c r="C6" s="29" t="s">
        <v>50</v>
      </c>
      <c r="D6" s="28" t="s">
        <v>132</v>
      </c>
      <c r="E6" s="29" t="s">
        <v>50</v>
      </c>
      <c r="F6" s="14" t="s">
        <v>133</v>
      </c>
      <c r="G6" s="28" t="s">
        <v>145</v>
      </c>
      <c r="H6" s="14" t="s">
        <v>135</v>
      </c>
      <c r="I6" s="14" t="s">
        <v>146</v>
      </c>
    </row>
    <row r="7" customFormat="false" ht="15" hidden="false" customHeight="true" outlineLevel="0" collapsed="false">
      <c r="A7" s="13" t="s">
        <v>65</v>
      </c>
      <c r="B7" s="30" t="s">
        <v>137</v>
      </c>
      <c r="C7" s="29" t="s">
        <v>50</v>
      </c>
      <c r="D7" s="30" t="s">
        <v>137</v>
      </c>
      <c r="E7" s="29" t="s">
        <v>50</v>
      </c>
      <c r="F7" s="13" t="s">
        <v>138</v>
      </c>
      <c r="G7" s="30" t="s">
        <v>139</v>
      </c>
      <c r="H7" s="14" t="s">
        <v>140</v>
      </c>
      <c r="I7" s="14" t="s">
        <v>141</v>
      </c>
    </row>
    <row r="8" customFormat="false" ht="15" hidden="false" customHeight="true" outlineLevel="0" collapsed="false">
      <c r="A8" s="13" t="s">
        <v>68</v>
      </c>
      <c r="B8" s="30" t="s">
        <v>137</v>
      </c>
      <c r="C8" s="29" t="s">
        <v>50</v>
      </c>
      <c r="D8" s="30" t="s">
        <v>137</v>
      </c>
      <c r="E8" s="29" t="s">
        <v>50</v>
      </c>
      <c r="F8" s="13" t="s">
        <v>138</v>
      </c>
      <c r="G8" s="30" t="s">
        <v>139</v>
      </c>
      <c r="H8" s="14" t="s">
        <v>140</v>
      </c>
      <c r="I8" s="14" t="s">
        <v>147</v>
      </c>
    </row>
    <row r="9" customFormat="false" ht="15" hidden="false" customHeight="true" outlineLevel="0" collapsed="false">
      <c r="A9" s="13" t="s">
        <v>71</v>
      </c>
      <c r="B9" s="29" t="s">
        <v>50</v>
      </c>
      <c r="C9" s="29" t="s">
        <v>50</v>
      </c>
      <c r="D9" s="29" t="s">
        <v>50</v>
      </c>
      <c r="E9" s="29" t="s">
        <v>50</v>
      </c>
      <c r="F9" s="13" t="s">
        <v>138</v>
      </c>
      <c r="G9" s="30" t="s">
        <v>148</v>
      </c>
      <c r="H9" s="14" t="s">
        <v>140</v>
      </c>
      <c r="I9" s="14" t="s">
        <v>149</v>
      </c>
    </row>
    <row r="10" customFormat="false" ht="15" hidden="false" customHeight="true" outlineLevel="0" collapsed="false">
      <c r="A10" s="13" t="s">
        <v>76</v>
      </c>
      <c r="B10" s="31" t="s">
        <v>150</v>
      </c>
      <c r="C10" s="29" t="s">
        <v>50</v>
      </c>
      <c r="D10" s="13" t="s">
        <v>151</v>
      </c>
      <c r="E10" s="13" t="s">
        <v>77</v>
      </c>
      <c r="F10" s="14" t="s">
        <v>152</v>
      </c>
      <c r="G10" s="28" t="s">
        <v>145</v>
      </c>
      <c r="H10" s="14" t="s">
        <v>153</v>
      </c>
      <c r="I10" s="14" t="s">
        <v>154</v>
      </c>
    </row>
    <row r="11" customFormat="false" ht="15" hidden="false" customHeight="true" outlineLevel="0" collapsed="false">
      <c r="A11" s="13" t="s">
        <v>86</v>
      </c>
      <c r="B11" s="28" t="s">
        <v>132</v>
      </c>
      <c r="C11" s="29" t="s">
        <v>50</v>
      </c>
      <c r="D11" s="30" t="s">
        <v>137</v>
      </c>
      <c r="E11" s="29" t="s">
        <v>50</v>
      </c>
      <c r="F11" s="14" t="s">
        <v>142</v>
      </c>
      <c r="G11" s="28" t="s">
        <v>134</v>
      </c>
      <c r="H11" s="14" t="s">
        <v>143</v>
      </c>
      <c r="I11" s="14" t="s">
        <v>144</v>
      </c>
    </row>
    <row r="12" customFormat="false" ht="15" hidden="false" customHeight="true" outlineLevel="0" collapsed="false">
      <c r="A12" s="13" t="s">
        <v>82</v>
      </c>
      <c r="B12" s="31" t="s">
        <v>150</v>
      </c>
      <c r="C12" s="13" t="s">
        <v>155</v>
      </c>
      <c r="D12" s="31" t="s">
        <v>150</v>
      </c>
      <c r="E12" s="13" t="s">
        <v>77</v>
      </c>
      <c r="F12" s="14" t="s">
        <v>156</v>
      </c>
      <c r="G12" s="31" t="s">
        <v>157</v>
      </c>
      <c r="H12" s="14" t="s">
        <v>158</v>
      </c>
      <c r="I12" s="14" t="s">
        <v>159</v>
      </c>
    </row>
    <row r="13" customFormat="false" ht="15" hidden="false" customHeight="true" outlineLevel="0" collapsed="false">
      <c r="A13" s="13" t="s">
        <v>89</v>
      </c>
      <c r="B13" s="31" t="s">
        <v>150</v>
      </c>
      <c r="C13" s="13" t="s">
        <v>155</v>
      </c>
      <c r="D13" s="31" t="s">
        <v>150</v>
      </c>
      <c r="E13" s="29" t="s">
        <v>50</v>
      </c>
      <c r="F13" s="14" t="s">
        <v>160</v>
      </c>
      <c r="G13" s="31" t="s">
        <v>157</v>
      </c>
      <c r="H13" s="14" t="s">
        <v>158</v>
      </c>
      <c r="I13" s="14" t="s">
        <v>161</v>
      </c>
    </row>
    <row r="14" customFormat="false" ht="15" hidden="false" customHeight="true" outlineLevel="0" collapsed="false">
      <c r="A14" s="13" t="s">
        <v>79</v>
      </c>
      <c r="B14" s="28" t="s">
        <v>132</v>
      </c>
      <c r="C14" s="29" t="s">
        <v>50</v>
      </c>
      <c r="D14" s="30" t="s">
        <v>137</v>
      </c>
      <c r="E14" s="29" t="s">
        <v>50</v>
      </c>
      <c r="F14" s="14" t="s">
        <v>142</v>
      </c>
      <c r="G14" s="28" t="s">
        <v>134</v>
      </c>
      <c r="H14" s="14" t="s">
        <v>143</v>
      </c>
      <c r="I14" s="14" t="s">
        <v>144</v>
      </c>
    </row>
    <row r="15" customFormat="false" ht="15" hidden="false" customHeight="true" outlineLevel="0" collapsed="false">
      <c r="A15" s="13" t="s">
        <v>93</v>
      </c>
      <c r="B15" s="30" t="s">
        <v>137</v>
      </c>
      <c r="C15" s="29" t="s">
        <v>50</v>
      </c>
      <c r="D15" s="29" t="s">
        <v>50</v>
      </c>
      <c r="E15" s="29" t="s">
        <v>50</v>
      </c>
      <c r="F15" s="13" t="s">
        <v>138</v>
      </c>
      <c r="G15" s="30" t="s">
        <v>139</v>
      </c>
      <c r="H15" s="14" t="s">
        <v>140</v>
      </c>
      <c r="I15" s="14" t="s">
        <v>141</v>
      </c>
    </row>
    <row r="16" customFormat="false" ht="15" hidden="false" customHeight="true" outlineLevel="0" collapsed="false">
      <c r="A16" s="13" t="s">
        <v>96</v>
      </c>
      <c r="B16" s="31" t="s">
        <v>150</v>
      </c>
      <c r="C16" s="13" t="s">
        <v>155</v>
      </c>
      <c r="D16" s="31" t="s">
        <v>150</v>
      </c>
      <c r="E16" s="29" t="s">
        <v>50</v>
      </c>
      <c r="F16" s="14" t="s">
        <v>156</v>
      </c>
      <c r="G16" s="31" t="s">
        <v>162</v>
      </c>
      <c r="H16" s="14" t="s">
        <v>153</v>
      </c>
      <c r="I16" s="14" t="s">
        <v>13</v>
      </c>
    </row>
    <row r="17" customFormat="false" ht="15" hidden="false" customHeight="true" outlineLevel="0" collapsed="false">
      <c r="A17" s="13" t="s">
        <v>99</v>
      </c>
      <c r="B17" s="31" t="s">
        <v>150</v>
      </c>
      <c r="C17" s="13" t="s">
        <v>155</v>
      </c>
      <c r="D17" s="31" t="s">
        <v>150</v>
      </c>
      <c r="E17" s="13" t="s">
        <v>77</v>
      </c>
      <c r="F17" s="14" t="s">
        <v>160</v>
      </c>
      <c r="G17" s="31" t="s">
        <v>157</v>
      </c>
      <c r="H17" s="14" t="s">
        <v>158</v>
      </c>
      <c r="I17" s="14" t="s">
        <v>10</v>
      </c>
    </row>
    <row r="18" customFormat="false" ht="15" hidden="false" customHeight="true" outlineLevel="0" collapsed="false">
      <c r="A18" s="13" t="s">
        <v>116</v>
      </c>
      <c r="B18" s="30" t="s">
        <v>137</v>
      </c>
      <c r="C18" s="29" t="s">
        <v>50</v>
      </c>
      <c r="D18" s="30" t="s">
        <v>137</v>
      </c>
      <c r="E18" s="29" t="s">
        <v>50</v>
      </c>
      <c r="F18" s="14" t="s">
        <v>163</v>
      </c>
      <c r="G18" s="28" t="s">
        <v>145</v>
      </c>
      <c r="H18" s="14" t="s">
        <v>164</v>
      </c>
      <c r="I18" s="14" t="s">
        <v>165</v>
      </c>
    </row>
    <row r="21" customFormat="false" ht="15" hidden="false" customHeight="true" outlineLevel="0" collapsed="false">
      <c r="A21" s="26" t="s">
        <v>166</v>
      </c>
      <c r="B21" s="26"/>
      <c r="C21" s="26"/>
      <c r="D21" s="26"/>
      <c r="E21" s="26"/>
      <c r="F21" s="26"/>
      <c r="G21" s="26"/>
      <c r="H21" s="26"/>
      <c r="I21" s="26"/>
    </row>
    <row r="22" customFormat="false" ht="12" hidden="false" customHeight="true" outlineLevel="0" collapsed="false">
      <c r="A22" s="27" t="s">
        <v>167</v>
      </c>
      <c r="B22" s="27"/>
      <c r="C22" s="27"/>
      <c r="D22" s="27"/>
      <c r="E22" s="27"/>
      <c r="F22" s="27"/>
      <c r="G22" s="27"/>
      <c r="H22" s="27"/>
      <c r="I22" s="27"/>
    </row>
    <row r="23" customFormat="false" ht="12" hidden="false" customHeight="true" outlineLevel="0" collapsed="false">
      <c r="A23" s="27" t="s">
        <v>168</v>
      </c>
      <c r="B23" s="27"/>
      <c r="C23" s="27"/>
      <c r="D23" s="27"/>
      <c r="E23" s="27"/>
      <c r="F23" s="27"/>
      <c r="G23" s="27"/>
      <c r="H23" s="27"/>
      <c r="I23" s="27"/>
    </row>
    <row r="24" customFormat="false" ht="12" hidden="false" customHeight="true" outlineLevel="0" collapsed="false">
      <c r="A24" s="27" t="s">
        <v>169</v>
      </c>
      <c r="B24" s="27"/>
      <c r="C24" s="27"/>
      <c r="D24" s="27"/>
      <c r="E24" s="27"/>
      <c r="F24" s="27"/>
      <c r="G24" s="27"/>
      <c r="H24" s="27"/>
      <c r="I24" s="27"/>
    </row>
    <row r="25" customFormat="false" ht="12" hidden="false" customHeight="true" outlineLevel="0" collapsed="false">
      <c r="A25" s="27" t="s">
        <v>170</v>
      </c>
      <c r="B25" s="27"/>
      <c r="C25" s="27"/>
      <c r="D25" s="27"/>
      <c r="E25" s="27"/>
      <c r="F25" s="27"/>
      <c r="G25" s="27"/>
      <c r="H25" s="27"/>
      <c r="I25" s="27"/>
    </row>
    <row r="26" customFormat="false" ht="12" hidden="false" customHeight="true" outlineLevel="0" collapsed="false">
      <c r="A26" s="27" t="s">
        <v>171</v>
      </c>
      <c r="B26" s="27"/>
      <c r="C26" s="27"/>
      <c r="D26" s="27"/>
      <c r="E26" s="27"/>
      <c r="F26" s="27"/>
      <c r="G26" s="27"/>
      <c r="H26" s="27"/>
      <c r="I26" s="27"/>
    </row>
  </sheetData>
  <mergeCells count="7">
    <mergeCell ref="A1:I1"/>
    <mergeCell ref="A21:I21"/>
    <mergeCell ref="A22:I22"/>
    <mergeCell ref="A23:I23"/>
    <mergeCell ref="A24:I24"/>
    <mergeCell ref="A25:I25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55"/>
    <col collapsed="false" customWidth="true" hidden="false" outlineLevel="0" max="6" min="4" style="1" width="11"/>
    <col collapsed="false" customWidth="true" hidden="false" outlineLevel="0" max="9" min="7" style="1" width="12"/>
    <col collapsed="false" customWidth="true" hidden="false" outlineLevel="0" max="11" min="10" style="1" width="10"/>
  </cols>
  <sheetData>
    <row r="1" customFormat="false" ht="34.5" hidden="false" customHeight="true" outlineLevel="0" collapsed="false">
      <c r="A1" s="10" t="s">
        <v>172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1.25" hidden="false" customHeight="true" outlineLevel="0" collapsed="false">
      <c r="A2" s="20" t="s">
        <v>173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39.75" hidden="false" customHeight="true" outlineLevel="0" collapsed="false">
      <c r="A3" s="11" t="s">
        <v>32</v>
      </c>
      <c r="B3" s="11" t="s">
        <v>174</v>
      </c>
      <c r="C3" s="11" t="s">
        <v>175</v>
      </c>
      <c r="D3" s="11" t="s">
        <v>176</v>
      </c>
      <c r="E3" s="11" t="s">
        <v>177</v>
      </c>
      <c r="F3" s="11" t="s">
        <v>178</v>
      </c>
      <c r="G3" s="11" t="s">
        <v>179</v>
      </c>
      <c r="H3" s="11" t="s">
        <v>180</v>
      </c>
      <c r="I3" s="11" t="s">
        <v>181</v>
      </c>
      <c r="J3" s="11" t="s">
        <v>182</v>
      </c>
      <c r="K3" s="11" t="s">
        <v>183</v>
      </c>
    </row>
    <row r="4" customFormat="false" ht="15" hidden="false" customHeight="true" outlineLevel="0" collapsed="false">
      <c r="A4" s="7" t="s">
        <v>46</v>
      </c>
      <c r="B4" s="32" t="n">
        <v>28000</v>
      </c>
      <c r="C4" s="32" t="n">
        <v>8000</v>
      </c>
      <c r="D4" s="32" t="n">
        <v>1500</v>
      </c>
      <c r="E4" s="33" t="n">
        <f aca="false">ROUND(B4*0.12*0.3/30 + C4*0.08, 0)</f>
        <v>674</v>
      </c>
      <c r="F4" s="33" t="n">
        <f aca="false">ROUND(B4*0.1*0.25/30 + D4*0.05, 0)</f>
        <v>98</v>
      </c>
      <c r="G4" s="33" t="n">
        <f aca="false">ROUND(E4*30*4000*0.1/10000, 0)</f>
        <v>809</v>
      </c>
      <c r="H4" s="33" t="n">
        <f aca="false">ROUND(F4*30*4000*0.1/10000, 0)</f>
        <v>118</v>
      </c>
      <c r="I4" s="33" t="n">
        <f aca="false">G4*4 + H4*8</f>
        <v>4180</v>
      </c>
      <c r="J4" s="7" t="n">
        <v>30</v>
      </c>
      <c r="K4" s="34" t="str">
        <f aca="false">IF(F4&gt;=J4,"유망",IF(F4&gt;=J4*0.7,"조건부 가능","주의 필요"))</f>
        <v>유망</v>
      </c>
    </row>
    <row r="5" customFormat="false" ht="15" hidden="false" customHeight="true" outlineLevel="0" collapsed="false">
      <c r="A5" s="7" t="s">
        <v>52</v>
      </c>
      <c r="B5" s="32" t="n">
        <v>26000</v>
      </c>
      <c r="C5" s="32" t="n">
        <v>6000</v>
      </c>
      <c r="D5" s="32" t="n">
        <v>800</v>
      </c>
      <c r="E5" s="33" t="n">
        <f aca="false">ROUND(B5*0.12*0.3/30 + C5*0.08, 0)</f>
        <v>511</v>
      </c>
      <c r="F5" s="33" t="n">
        <f aca="false">ROUND(B5*0.1*0.25/30 + D5*0.05, 0)</f>
        <v>62</v>
      </c>
      <c r="G5" s="33" t="n">
        <f aca="false">ROUND(E5*30*4000*0.1/10000, 0)</f>
        <v>613</v>
      </c>
      <c r="H5" s="33" t="n">
        <f aca="false">ROUND(F5*30*4000*0.1/10000, 0)</f>
        <v>74</v>
      </c>
      <c r="I5" s="33" t="n">
        <f aca="false">G5*4 + H5*8</f>
        <v>3044</v>
      </c>
      <c r="J5" s="7" t="n">
        <v>25</v>
      </c>
      <c r="K5" s="34" t="str">
        <f aca="false">IF(F5&gt;=J5,"유망",IF(F5&gt;=J5*0.7,"조건부 가능","주의 필요"))</f>
        <v>유망</v>
      </c>
    </row>
    <row r="6" customFormat="false" ht="15" hidden="false" customHeight="true" outlineLevel="0" collapsed="false">
      <c r="A6" s="7" t="s">
        <v>56</v>
      </c>
      <c r="B6" s="32" t="n">
        <v>43000</v>
      </c>
      <c r="C6" s="32" t="n">
        <v>5000</v>
      </c>
      <c r="D6" s="32" t="n">
        <v>1200</v>
      </c>
      <c r="E6" s="33" t="n">
        <f aca="false">ROUND(B6*0.12*0.3/30 + C6*0.08, 0)</f>
        <v>452</v>
      </c>
      <c r="F6" s="33" t="n">
        <f aca="false">ROUND(B6*0.1*0.25/30 + D6*0.05, 0)</f>
        <v>96</v>
      </c>
      <c r="G6" s="33" t="n">
        <f aca="false">ROUND(E6*30*4000*0.1/10000, 0)</f>
        <v>542</v>
      </c>
      <c r="H6" s="33" t="n">
        <f aca="false">ROUND(F6*30*4000*0.1/10000, 0)</f>
        <v>115</v>
      </c>
      <c r="I6" s="33" t="n">
        <f aca="false">G6*4 + H6*8</f>
        <v>3088</v>
      </c>
      <c r="J6" s="7" t="n">
        <v>30</v>
      </c>
      <c r="K6" s="34" t="str">
        <f aca="false">IF(F6&gt;=J6,"유망",IF(F6&gt;=J6*0.7,"조건부 가능","주의 필요"))</f>
        <v>유망</v>
      </c>
    </row>
    <row r="7" customFormat="false" ht="15" hidden="false" customHeight="true" outlineLevel="0" collapsed="false">
      <c r="A7" s="7" t="s">
        <v>61</v>
      </c>
      <c r="B7" s="32" t="n">
        <v>58000</v>
      </c>
      <c r="C7" s="32" t="n">
        <v>9000</v>
      </c>
      <c r="D7" s="32" t="n">
        <v>1000</v>
      </c>
      <c r="E7" s="33" t="n">
        <f aca="false">ROUND(B7*0.12*0.3/30 + C7*0.08, 0)</f>
        <v>790</v>
      </c>
      <c r="F7" s="33" t="n">
        <f aca="false">ROUND(B7*0.1*0.25/30 + D7*0.05, 0)</f>
        <v>98</v>
      </c>
      <c r="G7" s="33" t="n">
        <f aca="false">ROUND(E7*30*4000*0.1/10000, 0)</f>
        <v>948</v>
      </c>
      <c r="H7" s="33" t="n">
        <f aca="false">ROUND(F7*30*4000*0.1/10000, 0)</f>
        <v>118</v>
      </c>
      <c r="I7" s="33" t="n">
        <f aca="false">G7*4 + H7*8</f>
        <v>4736</v>
      </c>
      <c r="J7" s="7" t="n">
        <v>35</v>
      </c>
      <c r="K7" s="34" t="str">
        <f aca="false">IF(F7&gt;=J7,"유망",IF(F7&gt;=J7*0.7,"조건부 가능","주의 필요"))</f>
        <v>유망</v>
      </c>
    </row>
    <row r="8" customFormat="false" ht="15" hidden="false" customHeight="true" outlineLevel="0" collapsed="false">
      <c r="A8" s="7" t="s">
        <v>65</v>
      </c>
      <c r="B8" s="32" t="n">
        <v>47000</v>
      </c>
      <c r="C8" s="32" t="n">
        <v>3500</v>
      </c>
      <c r="D8" s="32" t="n">
        <v>700</v>
      </c>
      <c r="E8" s="33" t="n">
        <f aca="false">ROUND(B8*0.12*0.3/30 + C8*0.08, 0)</f>
        <v>336</v>
      </c>
      <c r="F8" s="33" t="n">
        <f aca="false">ROUND(B8*0.1*0.25/30 + D8*0.05, 0)</f>
        <v>74</v>
      </c>
      <c r="G8" s="33" t="n">
        <f aca="false">ROUND(E8*30*4000*0.1/10000, 0)</f>
        <v>403</v>
      </c>
      <c r="H8" s="33" t="n">
        <f aca="false">ROUND(F8*30*4000*0.1/10000, 0)</f>
        <v>89</v>
      </c>
      <c r="I8" s="33" t="n">
        <f aca="false">G8*4 + H8*8</f>
        <v>2324</v>
      </c>
      <c r="J8" s="7" t="n">
        <v>28</v>
      </c>
      <c r="K8" s="34" t="str">
        <f aca="false">IF(F8&gt;=J8,"유망",IF(F8&gt;=J8*0.7,"조건부 가능","주의 필요"))</f>
        <v>유망</v>
      </c>
    </row>
    <row r="9" customFormat="false" ht="15" hidden="false" customHeight="true" outlineLevel="0" collapsed="false">
      <c r="A9" s="7" t="s">
        <v>68</v>
      </c>
      <c r="B9" s="32" t="n">
        <v>31000</v>
      </c>
      <c r="C9" s="32" t="n">
        <v>5500</v>
      </c>
      <c r="D9" s="32" t="n">
        <v>800</v>
      </c>
      <c r="E9" s="33" t="n">
        <f aca="false">ROUND(B9*0.12*0.3/30 + C9*0.08, 0)</f>
        <v>477</v>
      </c>
      <c r="F9" s="33" t="n">
        <f aca="false">ROUND(B9*0.1*0.25/30 + D9*0.05, 0)</f>
        <v>66</v>
      </c>
      <c r="G9" s="33" t="n">
        <f aca="false">ROUND(E9*30*4000*0.1/10000, 0)</f>
        <v>572</v>
      </c>
      <c r="H9" s="33" t="n">
        <f aca="false">ROUND(F9*30*4000*0.1/10000, 0)</f>
        <v>79</v>
      </c>
      <c r="I9" s="33" t="n">
        <f aca="false">G9*4 + H9*8</f>
        <v>2920</v>
      </c>
      <c r="J9" s="7" t="n">
        <v>25</v>
      </c>
      <c r="K9" s="34" t="str">
        <f aca="false">IF(F9&gt;=J9,"유망",IF(F9&gt;=J9*0.7,"조건부 가능","주의 필요"))</f>
        <v>유망</v>
      </c>
    </row>
    <row r="10" customFormat="false" ht="15" hidden="false" customHeight="true" outlineLevel="0" collapsed="false">
      <c r="A10" s="7" t="s">
        <v>71</v>
      </c>
      <c r="B10" s="32" t="n">
        <v>9000</v>
      </c>
      <c r="C10" s="32" t="n">
        <v>1500</v>
      </c>
      <c r="D10" s="32" t="n">
        <v>100</v>
      </c>
      <c r="E10" s="33" t="n">
        <f aca="false">ROUND(B10*0.12*0.3/30 + C10*0.08, 0)</f>
        <v>131</v>
      </c>
      <c r="F10" s="33" t="n">
        <f aca="false">ROUND(B10*0.1*0.25/30 + D10*0.05, 0)</f>
        <v>13</v>
      </c>
      <c r="G10" s="33" t="n">
        <f aca="false">ROUND(E10*30*4000*0.1/10000, 0)</f>
        <v>157</v>
      </c>
      <c r="H10" s="33" t="n">
        <f aca="false">ROUND(F10*30*4000*0.1/10000, 0)</f>
        <v>16</v>
      </c>
      <c r="I10" s="33" t="n">
        <f aca="false">G10*4 + H10*8</f>
        <v>756</v>
      </c>
      <c r="J10" s="7" t="n">
        <v>15</v>
      </c>
      <c r="K10" s="34" t="str">
        <f aca="false">IF(F10&gt;=J10,"유망",IF(F10&gt;=J10*0.7,"조건부 가능","주의 필요"))</f>
        <v>조건부 가능</v>
      </c>
    </row>
    <row r="13" customFormat="false" ht="15" hidden="false" customHeight="true" outlineLevel="0" collapsed="false">
      <c r="A13" s="26" t="s">
        <v>184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customFormat="false" ht="15" hidden="false" customHeight="true" outlineLevel="0" collapsed="false">
      <c r="A14" s="35" t="s">
        <v>185</v>
      </c>
      <c r="B14" s="35" t="s">
        <v>186</v>
      </c>
      <c r="C14" s="35" t="s">
        <v>187</v>
      </c>
    </row>
    <row r="15" customFormat="false" ht="23.25" hidden="false" customHeight="true" outlineLevel="0" collapsed="false">
      <c r="A15" s="7" t="s">
        <v>188</v>
      </c>
      <c r="B15" s="8" t="s">
        <v>189</v>
      </c>
      <c r="C15" s="7" t="s">
        <v>190</v>
      </c>
    </row>
    <row r="16" customFormat="false" ht="23.25" hidden="false" customHeight="true" outlineLevel="0" collapsed="false">
      <c r="A16" s="7" t="s">
        <v>191</v>
      </c>
      <c r="B16" s="8" t="s">
        <v>22</v>
      </c>
      <c r="C16" s="7" t="s">
        <v>192</v>
      </c>
    </row>
    <row r="17" customFormat="false" ht="23.25" hidden="false" customHeight="true" outlineLevel="0" collapsed="false">
      <c r="A17" s="7" t="s">
        <v>193</v>
      </c>
      <c r="B17" s="7" t="s">
        <v>194</v>
      </c>
      <c r="C17" s="7" t="s">
        <v>195</v>
      </c>
    </row>
    <row r="18" customFormat="false" ht="23.25" hidden="false" customHeight="true" outlineLevel="0" collapsed="false">
      <c r="A18" s="7" t="s">
        <v>196</v>
      </c>
      <c r="B18" s="7" t="s">
        <v>197</v>
      </c>
      <c r="C18" s="7" t="s">
        <v>198</v>
      </c>
    </row>
    <row r="19" customFormat="false" ht="23.25" hidden="false" customHeight="true" outlineLevel="0" collapsed="false">
      <c r="A19" s="7" t="s">
        <v>199</v>
      </c>
      <c r="B19" s="8" t="s">
        <v>200</v>
      </c>
      <c r="C19" s="7" t="s">
        <v>201</v>
      </c>
    </row>
    <row r="20" customFormat="false" ht="23.25" hidden="false" customHeight="true" outlineLevel="0" collapsed="false">
      <c r="A20" s="7" t="s">
        <v>202</v>
      </c>
      <c r="B20" s="8" t="s">
        <v>203</v>
      </c>
      <c r="C20" s="7" t="s">
        <v>204</v>
      </c>
    </row>
    <row r="21" customFormat="false" ht="15" hidden="false" customHeight="true" outlineLevel="0" collapsed="false">
      <c r="A21" s="7" t="s">
        <v>205</v>
      </c>
      <c r="B21" s="8" t="s">
        <v>206</v>
      </c>
      <c r="C21" s="8" t="s">
        <v>207</v>
      </c>
    </row>
    <row r="22" customFormat="false" ht="15" hidden="false" customHeight="true" outlineLevel="0" collapsed="false">
      <c r="A22" s="7" t="s">
        <v>208</v>
      </c>
      <c r="B22" s="8" t="s">
        <v>22</v>
      </c>
      <c r="C22" s="8" t="s">
        <v>209</v>
      </c>
    </row>
    <row r="23" customFormat="false" ht="23.25" hidden="false" customHeight="true" outlineLevel="0" collapsed="false">
      <c r="A23" s="7" t="s">
        <v>210</v>
      </c>
      <c r="B23" s="8" t="s">
        <v>211</v>
      </c>
      <c r="C23" s="8" t="s">
        <v>212</v>
      </c>
    </row>
    <row r="24" customFormat="false" ht="15" hidden="false" customHeight="true" outlineLevel="0" collapsed="false">
      <c r="A24" s="7" t="s">
        <v>213</v>
      </c>
      <c r="B24" s="7" t="s">
        <v>214</v>
      </c>
      <c r="C24" s="7" t="s">
        <v>215</v>
      </c>
    </row>
    <row r="25" customFormat="false" ht="15" hidden="false" customHeight="true" outlineLevel="0" collapsed="false"/>
    <row r="26" customFormat="false" ht="15" hidden="false" customHeight="true" outlineLevel="0" collapsed="false">
      <c r="A26" s="26" t="s">
        <v>216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customFormat="false" ht="12" hidden="false" customHeight="true" outlineLevel="0" collapsed="false">
      <c r="A27" s="27" t="s">
        <v>217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customFormat="false" ht="12" hidden="false" customHeight="true" outlineLevel="0" collapsed="false">
      <c r="A28" s="27" t="s">
        <v>218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customFormat="false" ht="12" hidden="false" customHeight="true" outlineLevel="0" collapsed="false">
      <c r="A29" s="27" t="s">
        <v>219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12" hidden="false" customHeight="true" outlineLevel="0" collapsed="false">
      <c r="A30" s="27" t="s">
        <v>220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customFormat="false" ht="12" hidden="false" customHeight="true" outlineLevel="0" collapsed="false">
      <c r="A31" s="27" t="s">
        <v>221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</row>
  </sheetData>
  <mergeCells count="9">
    <mergeCell ref="A1:K1"/>
    <mergeCell ref="A2:K2"/>
    <mergeCell ref="A13:K13"/>
    <mergeCell ref="A26:K26"/>
    <mergeCell ref="A27:K27"/>
    <mergeCell ref="A28:K28"/>
    <mergeCell ref="A29:K29"/>
    <mergeCell ref="A30:K30"/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6"/>
  </cols>
  <sheetData>
    <row r="1" customFormat="false" ht="34.5" hidden="false" customHeight="true" outlineLevel="0" collapsed="false">
      <c r="A1" s="10" t="s">
        <v>222</v>
      </c>
      <c r="B1" s="10"/>
      <c r="C1" s="10"/>
      <c r="D1" s="10"/>
      <c r="E1" s="10"/>
      <c r="F1" s="10"/>
      <c r="G1" s="10"/>
    </row>
    <row r="2" customFormat="false" ht="34.5" hidden="false" customHeight="true" outlineLevel="0" collapsed="false">
      <c r="A2" s="11" t="s">
        <v>223</v>
      </c>
      <c r="B2" s="11" t="s">
        <v>224</v>
      </c>
      <c r="C2" s="11" t="s">
        <v>225</v>
      </c>
      <c r="D2" s="11" t="s">
        <v>226</v>
      </c>
      <c r="E2" s="11" t="s">
        <v>227</v>
      </c>
      <c r="F2" s="11" t="s">
        <v>228</v>
      </c>
      <c r="G2" s="12" t="s">
        <v>229</v>
      </c>
    </row>
    <row r="3" customFormat="false" ht="79.5" hidden="false" customHeight="true" outlineLevel="0" collapsed="false">
      <c r="A3" s="36" t="s">
        <v>230</v>
      </c>
      <c r="B3" s="36" t="s">
        <v>231</v>
      </c>
      <c r="C3" s="37" t="s">
        <v>232</v>
      </c>
      <c r="D3" s="37" t="s">
        <v>233</v>
      </c>
      <c r="E3" s="36" t="s">
        <v>234</v>
      </c>
      <c r="F3" s="37" t="s">
        <v>235</v>
      </c>
      <c r="G3" s="37" t="s">
        <v>236</v>
      </c>
    </row>
    <row r="4" customFormat="false" ht="79.5" hidden="false" customHeight="true" outlineLevel="0" collapsed="false">
      <c r="A4" s="36" t="s">
        <v>237</v>
      </c>
      <c r="B4" s="36" t="s">
        <v>238</v>
      </c>
      <c r="C4" s="37" t="s">
        <v>239</v>
      </c>
      <c r="D4" s="36" t="s">
        <v>240</v>
      </c>
      <c r="E4" s="36" t="s">
        <v>241</v>
      </c>
      <c r="F4" s="36" t="s">
        <v>242</v>
      </c>
      <c r="G4" s="37" t="s">
        <v>243</v>
      </c>
    </row>
    <row r="5" customFormat="false" ht="79.5" hidden="false" customHeight="true" outlineLevel="0" collapsed="false">
      <c r="A5" s="36" t="s">
        <v>244</v>
      </c>
      <c r="B5" s="36" t="s">
        <v>245</v>
      </c>
      <c r="C5" s="37" t="s">
        <v>246</v>
      </c>
      <c r="D5" s="37" t="s">
        <v>247</v>
      </c>
      <c r="E5" s="36" t="s">
        <v>248</v>
      </c>
      <c r="F5" s="37" t="s">
        <v>249</v>
      </c>
      <c r="G5" s="37" t="s">
        <v>250</v>
      </c>
    </row>
    <row r="6" customFormat="false" ht="79.5" hidden="false" customHeight="true" outlineLevel="0" collapsed="false">
      <c r="A6" s="36" t="s">
        <v>251</v>
      </c>
      <c r="B6" s="36" t="s">
        <v>252</v>
      </c>
      <c r="C6" s="37" t="s">
        <v>253</v>
      </c>
      <c r="D6" s="37" t="s">
        <v>254</v>
      </c>
      <c r="E6" s="36" t="s">
        <v>255</v>
      </c>
      <c r="F6" s="37" t="s">
        <v>256</v>
      </c>
      <c r="G6" s="37" t="s">
        <v>257</v>
      </c>
    </row>
    <row r="9" customFormat="false" ht="15" hidden="false" customHeight="true" outlineLevel="0" collapsed="false">
      <c r="A9" s="26" t="s">
        <v>258</v>
      </c>
      <c r="B9" s="26"/>
      <c r="C9" s="26"/>
      <c r="D9" s="26"/>
      <c r="E9" s="26"/>
      <c r="F9" s="26"/>
      <c r="G9" s="26"/>
    </row>
    <row r="10" customFormat="false" ht="15" hidden="false" customHeight="true" outlineLevel="0" collapsed="false">
      <c r="A10" s="38" t="s">
        <v>259</v>
      </c>
      <c r="B10" s="38" t="s">
        <v>260</v>
      </c>
      <c r="C10" s="38" t="s">
        <v>261</v>
      </c>
      <c r="D10" s="38" t="s">
        <v>262</v>
      </c>
    </row>
    <row r="11" customFormat="false" ht="30" hidden="false" customHeight="true" outlineLevel="0" collapsed="false">
      <c r="A11" s="7" t="s">
        <v>263</v>
      </c>
      <c r="B11" s="39" t="s">
        <v>264</v>
      </c>
      <c r="C11" s="39" t="s">
        <v>264</v>
      </c>
      <c r="D11" s="7" t="s">
        <v>265</v>
      </c>
    </row>
    <row r="12" customFormat="false" ht="30" hidden="false" customHeight="true" outlineLevel="0" collapsed="false">
      <c r="A12" s="7" t="s">
        <v>266</v>
      </c>
      <c r="B12" s="39" t="s">
        <v>264</v>
      </c>
      <c r="C12" s="39" t="s">
        <v>264</v>
      </c>
      <c r="D12" s="7" t="s">
        <v>267</v>
      </c>
    </row>
    <row r="13" customFormat="false" ht="30" hidden="false" customHeight="true" outlineLevel="0" collapsed="false">
      <c r="A13" s="7" t="s">
        <v>268</v>
      </c>
      <c r="B13" s="40" t="s">
        <v>269</v>
      </c>
      <c r="C13" s="40" t="s">
        <v>269</v>
      </c>
      <c r="D13" s="7" t="s">
        <v>270</v>
      </c>
    </row>
    <row r="14" customFormat="false" ht="30" hidden="false" customHeight="true" outlineLevel="0" collapsed="false">
      <c r="A14" s="7" t="s">
        <v>271</v>
      </c>
      <c r="B14" s="39" t="s">
        <v>264</v>
      </c>
      <c r="C14" s="41" t="s">
        <v>272</v>
      </c>
      <c r="D14" s="7" t="s">
        <v>273</v>
      </c>
    </row>
    <row r="15" customFormat="false" ht="30" hidden="false" customHeight="true" outlineLevel="0" collapsed="false">
      <c r="A15" s="7" t="s">
        <v>274</v>
      </c>
      <c r="B15" s="40" t="s">
        <v>269</v>
      </c>
      <c r="C15" s="40" t="s">
        <v>269</v>
      </c>
      <c r="D15" s="7" t="s">
        <v>275</v>
      </c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0A0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0"/>
    <col collapsed="false" customWidth="true" hidden="false" outlineLevel="0" max="3" min="3" style="1" width="55"/>
    <col collapsed="false" customWidth="true" hidden="false" outlineLevel="0" max="4" min="4" style="1" width="30"/>
  </cols>
  <sheetData>
    <row r="1" customFormat="false" ht="30" hidden="false" customHeight="true" outlineLevel="0" collapsed="false">
      <c r="A1" s="42" t="s">
        <v>276</v>
      </c>
      <c r="B1" s="42"/>
      <c r="C1" s="42"/>
      <c r="D1" s="42"/>
    </row>
    <row r="2" customFormat="false" ht="15" hidden="false" customHeight="true" outlineLevel="0" collapsed="false">
      <c r="A2" s="11" t="s">
        <v>277</v>
      </c>
      <c r="B2" s="11" t="s">
        <v>278</v>
      </c>
      <c r="C2" s="12" t="s">
        <v>279</v>
      </c>
      <c r="D2" s="11" t="s">
        <v>43</v>
      </c>
    </row>
    <row r="3" customFormat="false" ht="24.75" hidden="false" customHeight="true" outlineLevel="0" collapsed="false">
      <c r="A3" s="7" t="s">
        <v>280</v>
      </c>
      <c r="B3" s="7" t="s">
        <v>281</v>
      </c>
      <c r="C3" s="8" t="s">
        <v>282</v>
      </c>
      <c r="D3" s="8" t="s">
        <v>283</v>
      </c>
    </row>
    <row r="4" customFormat="false" ht="24.75" hidden="false" customHeight="true" outlineLevel="0" collapsed="false">
      <c r="A4" s="7" t="s">
        <v>284</v>
      </c>
      <c r="B4" s="7" t="s">
        <v>285</v>
      </c>
      <c r="C4" s="8" t="s">
        <v>286</v>
      </c>
      <c r="D4" s="7" t="s">
        <v>287</v>
      </c>
    </row>
    <row r="5" customFormat="false" ht="24.75" hidden="false" customHeight="true" outlineLevel="0" collapsed="false">
      <c r="A5" s="7" t="s">
        <v>288</v>
      </c>
      <c r="B5" s="7" t="s">
        <v>289</v>
      </c>
      <c r="C5" s="8" t="s">
        <v>290</v>
      </c>
      <c r="D5" s="7" t="s">
        <v>291</v>
      </c>
    </row>
    <row r="6" customFormat="false" ht="24.75" hidden="false" customHeight="true" outlineLevel="0" collapsed="false">
      <c r="A6" s="7" t="s">
        <v>292</v>
      </c>
      <c r="B6" s="7" t="s">
        <v>281</v>
      </c>
      <c r="C6" s="8" t="s">
        <v>293</v>
      </c>
      <c r="D6" s="7" t="s">
        <v>294</v>
      </c>
    </row>
    <row r="7" customFormat="false" ht="24.75" hidden="false" customHeight="true" outlineLevel="0" collapsed="false">
      <c r="A7" s="7" t="s">
        <v>295</v>
      </c>
      <c r="B7" s="7" t="s">
        <v>296</v>
      </c>
      <c r="C7" s="8" t="s">
        <v>297</v>
      </c>
      <c r="D7" s="7" t="s">
        <v>298</v>
      </c>
    </row>
    <row r="8" customFormat="false" ht="24.75" hidden="false" customHeight="true" outlineLevel="0" collapsed="false">
      <c r="A8" s="7" t="s">
        <v>299</v>
      </c>
      <c r="B8" s="7" t="s">
        <v>300</v>
      </c>
      <c r="C8" s="8" t="s">
        <v>301</v>
      </c>
      <c r="D8" s="7" t="s">
        <v>302</v>
      </c>
    </row>
    <row r="9" customFormat="false" ht="24.75" hidden="false" customHeight="true" outlineLevel="0" collapsed="false">
      <c r="A9" s="7" t="s">
        <v>303</v>
      </c>
      <c r="B9" s="7" t="s">
        <v>304</v>
      </c>
      <c r="C9" s="7" t="s">
        <v>305</v>
      </c>
      <c r="D9" s="7" t="s">
        <v>306</v>
      </c>
    </row>
    <row r="10" customFormat="false" ht="24.75" hidden="false" customHeight="true" outlineLevel="0" collapsed="false">
      <c r="A10" s="7" t="s">
        <v>307</v>
      </c>
      <c r="B10" s="7" t="s">
        <v>308</v>
      </c>
      <c r="C10" s="8" t="s">
        <v>309</v>
      </c>
      <c r="D10" s="8" t="s">
        <v>310</v>
      </c>
    </row>
    <row r="11" customFormat="false" ht="24.75" hidden="false" customHeight="true" outlineLevel="0" collapsed="false">
      <c r="A11" s="7" t="s">
        <v>311</v>
      </c>
      <c r="B11" s="7" t="s">
        <v>312</v>
      </c>
      <c r="C11" s="8" t="s">
        <v>140</v>
      </c>
      <c r="D11" s="8" t="s">
        <v>313</v>
      </c>
    </row>
    <row r="12" customFormat="false" ht="24.75" hidden="false" customHeight="true" outlineLevel="0" collapsed="false">
      <c r="A12" s="7" t="s">
        <v>314</v>
      </c>
      <c r="B12" s="7" t="s">
        <v>296</v>
      </c>
      <c r="C12" s="8" t="s">
        <v>315</v>
      </c>
      <c r="D12" s="8" t="s">
        <v>316</v>
      </c>
    </row>
    <row r="13" customFormat="false" ht="24.75" hidden="false" customHeight="true" outlineLevel="0" collapsed="false">
      <c r="A13" s="7" t="s">
        <v>317</v>
      </c>
      <c r="B13" s="7" t="s">
        <v>318</v>
      </c>
      <c r="C13" s="8" t="s">
        <v>319</v>
      </c>
      <c r="D13" s="8" t="s">
        <v>320</v>
      </c>
    </row>
    <row r="14" customFormat="false" ht="24.75" hidden="false" customHeight="true" outlineLevel="0" collapsed="false">
      <c r="A14" s="7" t="s">
        <v>321</v>
      </c>
      <c r="B14" s="7" t="s">
        <v>322</v>
      </c>
      <c r="C14" s="8" t="s">
        <v>323</v>
      </c>
      <c r="D14" s="7" t="s">
        <v>324</v>
      </c>
    </row>
    <row r="15" customFormat="false" ht="24.75" hidden="false" customHeight="true" outlineLevel="0" collapsed="false">
      <c r="A15" s="7" t="s">
        <v>325</v>
      </c>
      <c r="B15" s="8" t="s">
        <v>326</v>
      </c>
      <c r="C15" s="8" t="s">
        <v>327</v>
      </c>
      <c r="D15" s="8" t="s">
        <v>328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4"/>
  </cols>
  <sheetData>
    <row r="1" customFormat="false" ht="16.4" hidden="false" customHeight="false" outlineLevel="0" collapsed="false">
      <c r="A1" s="43" t="s">
        <v>329</v>
      </c>
      <c r="B1" s="43"/>
      <c r="C1" s="43"/>
      <c r="D1" s="43"/>
      <c r="E1" s="43"/>
      <c r="F1" s="43"/>
      <c r="G1" s="43"/>
      <c r="H1" s="43"/>
      <c r="I1" s="43"/>
    </row>
    <row r="3" customFormat="false" ht="15" hidden="false" customHeight="false" outlineLevel="0" collapsed="false">
      <c r="A3" s="44" t="s">
        <v>330</v>
      </c>
    </row>
    <row r="4" customFormat="false" ht="15" hidden="false" customHeight="false" outlineLevel="0" collapsed="false">
      <c r="A4" s="45" t="s">
        <v>331</v>
      </c>
      <c r="B4" s="46" t="s">
        <v>332</v>
      </c>
    </row>
    <row r="5" customFormat="false" ht="15" hidden="false" customHeight="false" outlineLevel="0" collapsed="false">
      <c r="A5" s="45" t="s">
        <v>333</v>
      </c>
      <c r="B5" s="46" t="s">
        <v>334</v>
      </c>
    </row>
    <row r="6" customFormat="false" ht="15" hidden="false" customHeight="false" outlineLevel="0" collapsed="false">
      <c r="A6" s="45" t="s">
        <v>335</v>
      </c>
      <c r="B6" s="46" t="s">
        <v>336</v>
      </c>
    </row>
    <row r="7" customFormat="false" ht="15" hidden="false" customHeight="false" outlineLevel="0" collapsed="false">
      <c r="A7" s="45" t="s">
        <v>337</v>
      </c>
      <c r="B7" s="46" t="s">
        <v>22</v>
      </c>
    </row>
    <row r="8" customFormat="false" ht="15" hidden="false" customHeight="false" outlineLevel="0" collapsed="false">
      <c r="A8" s="45" t="s">
        <v>338</v>
      </c>
      <c r="B8" s="46" t="s">
        <v>339</v>
      </c>
    </row>
    <row r="11" customFormat="false" ht="15" hidden="false" customHeight="false" outlineLevel="0" collapsed="false">
      <c r="A11" s="47" t="s">
        <v>340</v>
      </c>
      <c r="B11" s="47" t="s">
        <v>341</v>
      </c>
      <c r="C11" s="47" t="s">
        <v>342</v>
      </c>
      <c r="D11" s="48" t="s">
        <v>343</v>
      </c>
      <c r="E11" s="48" t="s">
        <v>344</v>
      </c>
      <c r="F11" s="48" t="s">
        <v>345</v>
      </c>
      <c r="G11" s="48" t="s">
        <v>346</v>
      </c>
      <c r="H11" s="48" t="s">
        <v>347</v>
      </c>
      <c r="I11" s="47" t="s">
        <v>348</v>
      </c>
    </row>
    <row r="12" customFormat="false" ht="15" hidden="false" customHeight="false" outlineLevel="0" collapsed="false">
      <c r="A12" s="49" t="s">
        <v>46</v>
      </c>
      <c r="B12" s="50" t="n">
        <v>2.57988200772954</v>
      </c>
      <c r="C12" s="50" t="n">
        <v>2.46028096288605</v>
      </c>
      <c r="D12" s="50" t="n">
        <v>1.58820376537764</v>
      </c>
      <c r="E12" s="50" t="n">
        <v>3.29183424538507</v>
      </c>
      <c r="F12" s="51" t="n">
        <v>0.3605</v>
      </c>
      <c r="G12" s="51" t="n">
        <v>0.5083</v>
      </c>
      <c r="H12" s="51" t="n">
        <v>0.1312</v>
      </c>
      <c r="I12" s="51" t="n">
        <v>0.1481</v>
      </c>
    </row>
    <row r="13" customFormat="false" ht="15" hidden="false" customHeight="false" outlineLevel="0" collapsed="false">
      <c r="A13" s="49" t="s">
        <v>52</v>
      </c>
      <c r="B13" s="50" t="n">
        <v>3.21302683167609</v>
      </c>
      <c r="C13" s="50" t="n">
        <v>3.16852443079781</v>
      </c>
      <c r="D13" s="50" t="n">
        <v>1.62736001147181</v>
      </c>
      <c r="E13" s="50" t="n">
        <v>4.36915040277512</v>
      </c>
      <c r="F13" s="51" t="n">
        <v>0.3095</v>
      </c>
      <c r="G13" s="51" t="n">
        <v>0.3675</v>
      </c>
      <c r="H13" s="51" t="n">
        <v>0.323</v>
      </c>
      <c r="I13" s="51" t="n">
        <v>0.147</v>
      </c>
    </row>
    <row r="14" customFormat="false" ht="15" hidden="false" customHeight="false" outlineLevel="0" collapsed="false">
      <c r="A14" s="49" t="s">
        <v>56</v>
      </c>
      <c r="B14" s="50" t="n">
        <v>2.5583404709573</v>
      </c>
      <c r="C14" s="50" t="n">
        <v>2.44707236485324</v>
      </c>
      <c r="D14" s="50" t="n">
        <v>1.64856878807582</v>
      </c>
      <c r="E14" s="50" t="n">
        <v>3.34030035112298</v>
      </c>
      <c r="F14" s="51" t="n">
        <v>0.36</v>
      </c>
      <c r="G14" s="51" t="n">
        <v>0.5204</v>
      </c>
      <c r="H14" s="51" t="n">
        <v>0.1196</v>
      </c>
      <c r="I14" s="51" t="n">
        <v>0.1528</v>
      </c>
    </row>
    <row r="15" customFormat="false" ht="15" hidden="false" customHeight="false" outlineLevel="0" collapsed="false">
      <c r="A15" s="49" t="s">
        <v>61</v>
      </c>
      <c r="B15" s="50" t="n">
        <v>2.22321633381153</v>
      </c>
      <c r="C15" s="50" t="n">
        <v>1.92447975645113</v>
      </c>
      <c r="D15" s="50" t="n">
        <v>1.02111834013504</v>
      </c>
      <c r="E15" s="50" t="n">
        <v>3.02635915351401</v>
      </c>
      <c r="F15" s="51" t="n">
        <v>0.519</v>
      </c>
      <c r="G15" s="51" t="n">
        <v>0.3476</v>
      </c>
      <c r="H15" s="51" t="n">
        <v>0.1334</v>
      </c>
      <c r="I15" s="51" t="n">
        <v>0.1493</v>
      </c>
    </row>
    <row r="16" customFormat="false" ht="15" hidden="false" customHeight="false" outlineLevel="0" collapsed="false">
      <c r="A16" s="49" t="s">
        <v>65</v>
      </c>
      <c r="B16" s="50" t="n">
        <v>2.64192484220353</v>
      </c>
      <c r="C16" s="50" t="n">
        <v>2.61137158884442</v>
      </c>
      <c r="D16" s="50" t="n">
        <v>1.14045852526842</v>
      </c>
      <c r="E16" s="50" t="n">
        <v>3.73188355219761</v>
      </c>
      <c r="F16" s="51" t="n">
        <v>0.4147</v>
      </c>
      <c r="G16" s="51" t="n">
        <v>0.3784</v>
      </c>
      <c r="H16" s="51" t="n">
        <v>0.2069</v>
      </c>
      <c r="I16" s="51" t="n">
        <v>0.1437</v>
      </c>
    </row>
    <row r="17" customFormat="false" ht="15" hidden="false" customHeight="false" outlineLevel="0" collapsed="false">
      <c r="A17" s="49" t="s">
        <v>68</v>
      </c>
      <c r="B17" s="50" t="n">
        <v>3.31558473705871</v>
      </c>
      <c r="C17" s="50" t="n">
        <v>2.66250475596329</v>
      </c>
      <c r="D17" s="50" t="n">
        <v>1.58122703559729</v>
      </c>
      <c r="E17" s="50" t="n">
        <v>4.51777914886507</v>
      </c>
      <c r="F17" s="51" t="n">
        <v>0.3693</v>
      </c>
      <c r="G17" s="51" t="n">
        <v>0.3192</v>
      </c>
      <c r="H17" s="51" t="n">
        <v>0.3115</v>
      </c>
      <c r="I17" s="51" t="n">
        <v>0.1483</v>
      </c>
    </row>
    <row r="18" customFormat="false" ht="15" hidden="false" customHeight="false" outlineLevel="0" collapsed="false">
      <c r="A18" s="49" t="s">
        <v>71</v>
      </c>
      <c r="B18" s="50" t="n">
        <v>1.80102498005467</v>
      </c>
      <c r="C18" s="50" t="n">
        <v>1.19000717795632</v>
      </c>
      <c r="D18" s="50" t="n">
        <v>0.768033063055234</v>
      </c>
      <c r="E18" s="50" t="n">
        <v>2.71607889518985</v>
      </c>
      <c r="F18" s="51" t="n">
        <v>0.6087</v>
      </c>
      <c r="G18" s="51" t="n">
        <v>0.3148</v>
      </c>
      <c r="H18" s="51" t="n">
        <v>0.0765</v>
      </c>
      <c r="I18" s="51" t="n">
        <v>0.1451</v>
      </c>
    </row>
    <row r="20" customFormat="false" ht="15" hidden="false" customHeight="false" outlineLevel="0" collapsed="false">
      <c r="A20" s="44" t="s">
        <v>349</v>
      </c>
    </row>
    <row r="21" customFormat="false" ht="15" hidden="false" customHeight="false" outlineLevel="0" collapsed="false">
      <c r="A21" s="47" t="s">
        <v>340</v>
      </c>
      <c r="B21" s="47" t="s">
        <v>205</v>
      </c>
      <c r="C21" s="47" t="s">
        <v>350</v>
      </c>
      <c r="D21" s="47" t="s">
        <v>351</v>
      </c>
      <c r="E21" s="47" t="s">
        <v>352</v>
      </c>
      <c r="F21" s="48" t="s">
        <v>353</v>
      </c>
      <c r="G21" s="48" t="s">
        <v>354</v>
      </c>
    </row>
    <row r="22" customFormat="false" ht="15" hidden="false" customHeight="false" outlineLevel="0" collapsed="false">
      <c r="A22" s="49" t="s">
        <v>46</v>
      </c>
      <c r="B22" s="52" t="n">
        <v>7552.3</v>
      </c>
      <c r="C22" s="52" t="n">
        <v>7000</v>
      </c>
      <c r="D22" s="52" t="n">
        <v>5000</v>
      </c>
      <c r="E22" s="52" t="n">
        <v>25000</v>
      </c>
      <c r="F22" s="52" t="n">
        <v>5000</v>
      </c>
      <c r="G22" s="52" t="n">
        <v>9000</v>
      </c>
    </row>
    <row r="23" customFormat="false" ht="15" hidden="false" customHeight="false" outlineLevel="0" collapsed="false">
      <c r="A23" s="49" t="s">
        <v>52</v>
      </c>
      <c r="B23" s="52" t="n">
        <v>8785.9</v>
      </c>
      <c r="C23" s="52" t="n">
        <v>8000</v>
      </c>
      <c r="D23" s="52" t="n">
        <v>5000</v>
      </c>
      <c r="E23" s="52" t="n">
        <v>27000</v>
      </c>
      <c r="F23" s="52" t="n">
        <v>5000</v>
      </c>
      <c r="G23" s="52" t="n">
        <v>11000</v>
      </c>
    </row>
    <row r="24" customFormat="false" ht="15" hidden="false" customHeight="false" outlineLevel="0" collapsed="false">
      <c r="A24" s="49" t="s">
        <v>56</v>
      </c>
      <c r="B24" s="52" t="n">
        <v>7453</v>
      </c>
      <c r="C24" s="52" t="n">
        <v>7000</v>
      </c>
      <c r="D24" s="52" t="n">
        <v>5000</v>
      </c>
      <c r="E24" s="52" t="n">
        <v>20000</v>
      </c>
      <c r="F24" s="52" t="n">
        <v>5000</v>
      </c>
      <c r="G24" s="52" t="n">
        <v>9000</v>
      </c>
    </row>
    <row r="25" customFormat="false" ht="15" hidden="false" customHeight="false" outlineLevel="0" collapsed="false">
      <c r="A25" s="49" t="s">
        <v>61</v>
      </c>
      <c r="B25" s="52" t="n">
        <v>7198.9</v>
      </c>
      <c r="C25" s="52" t="n">
        <v>6000</v>
      </c>
      <c r="D25" s="52" t="n">
        <v>5000</v>
      </c>
      <c r="E25" s="52" t="n">
        <v>21000</v>
      </c>
      <c r="F25" s="52" t="n">
        <v>5000</v>
      </c>
      <c r="G25" s="52" t="n">
        <v>8000</v>
      </c>
    </row>
    <row r="26" customFormat="false" ht="15" hidden="false" customHeight="false" outlineLevel="0" collapsed="false">
      <c r="A26" s="49" t="s">
        <v>65</v>
      </c>
      <c r="B26" s="52" t="n">
        <v>7883.5</v>
      </c>
      <c r="C26" s="52" t="n">
        <v>7000</v>
      </c>
      <c r="D26" s="52" t="n">
        <v>5000</v>
      </c>
      <c r="E26" s="52" t="n">
        <v>23000</v>
      </c>
      <c r="F26" s="52" t="n">
        <v>5000</v>
      </c>
      <c r="G26" s="52" t="n">
        <v>10000</v>
      </c>
    </row>
    <row r="27" customFormat="false" ht="15" hidden="false" customHeight="false" outlineLevel="0" collapsed="false">
      <c r="A27" s="49" t="s">
        <v>68</v>
      </c>
      <c r="B27" s="52" t="n">
        <v>8992.7</v>
      </c>
      <c r="C27" s="52" t="n">
        <v>8000</v>
      </c>
      <c r="D27" s="52" t="n">
        <v>5000</v>
      </c>
      <c r="E27" s="52" t="n">
        <v>33000</v>
      </c>
      <c r="F27" s="52" t="n">
        <v>5000</v>
      </c>
      <c r="G27" s="52" t="n">
        <v>11000</v>
      </c>
    </row>
    <row r="28" customFormat="false" ht="15" hidden="false" customHeight="false" outlineLevel="0" collapsed="false">
      <c r="A28" s="49" t="s">
        <v>71</v>
      </c>
      <c r="B28" s="52" t="n">
        <v>6653.6</v>
      </c>
      <c r="C28" s="52" t="n">
        <v>5000</v>
      </c>
      <c r="D28" s="52" t="n">
        <v>5000</v>
      </c>
      <c r="E28" s="52" t="n">
        <v>21000</v>
      </c>
      <c r="F28" s="52" t="n">
        <v>5000</v>
      </c>
      <c r="G28" s="52" t="n">
        <v>8000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6"/>
  </cols>
  <sheetData>
    <row r="1" customFormat="false" ht="16.4" hidden="false" customHeight="false" outlineLevel="0" collapsed="false">
      <c r="A1" s="43" t="s">
        <v>355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customFormat="false" ht="15" hidden="false" customHeight="false" outlineLevel="0" collapsed="false">
      <c r="A3" s="47" t="s">
        <v>340</v>
      </c>
      <c r="B3" s="47" t="s">
        <v>356</v>
      </c>
      <c r="C3" s="47" t="s">
        <v>357</v>
      </c>
      <c r="D3" s="47" t="s">
        <v>358</v>
      </c>
      <c r="E3" s="47" t="s">
        <v>359</v>
      </c>
      <c r="F3" s="47" t="s">
        <v>360</v>
      </c>
      <c r="G3" s="47" t="s">
        <v>361</v>
      </c>
      <c r="H3" s="47" t="s">
        <v>205</v>
      </c>
    </row>
    <row r="4" customFormat="false" ht="15" hidden="false" customHeight="false" outlineLevel="0" collapsed="false">
      <c r="A4" s="49" t="s">
        <v>46</v>
      </c>
      <c r="B4" s="52" t="n">
        <v>28000</v>
      </c>
      <c r="C4" s="52" t="n">
        <v>629</v>
      </c>
      <c r="D4" s="52" t="n">
        <v>850</v>
      </c>
      <c r="E4" s="52" t="n">
        <v>350</v>
      </c>
      <c r="F4" s="52" t="n">
        <v>670</v>
      </c>
      <c r="G4" s="52" t="n">
        <v>120</v>
      </c>
      <c r="H4" s="52" t="n">
        <v>7552</v>
      </c>
    </row>
    <row r="5" customFormat="false" ht="15" hidden="false" customHeight="false" outlineLevel="0" collapsed="false">
      <c r="A5" s="49" t="s">
        <v>52</v>
      </c>
      <c r="B5" s="52" t="n">
        <v>26000</v>
      </c>
      <c r="C5" s="52" t="n">
        <v>664</v>
      </c>
      <c r="D5" s="52" t="n">
        <v>520</v>
      </c>
      <c r="E5" s="52" t="n">
        <v>280</v>
      </c>
      <c r="F5" s="52" t="n">
        <v>580</v>
      </c>
      <c r="G5" s="52" t="n">
        <v>75</v>
      </c>
      <c r="H5" s="52" t="n">
        <v>8786</v>
      </c>
    </row>
    <row r="6" customFormat="false" ht="15" hidden="false" customHeight="false" outlineLevel="0" collapsed="false">
      <c r="A6" s="49" t="s">
        <v>56</v>
      </c>
      <c r="B6" s="52" t="n">
        <v>43000</v>
      </c>
      <c r="C6" s="52" t="n">
        <v>358</v>
      </c>
      <c r="D6" s="52" t="n">
        <v>620</v>
      </c>
      <c r="E6" s="52" t="n">
        <v>380</v>
      </c>
      <c r="F6" s="52" t="n">
        <v>560</v>
      </c>
      <c r="G6" s="52" t="n">
        <v>115</v>
      </c>
      <c r="H6" s="52" t="n">
        <v>7453</v>
      </c>
    </row>
    <row r="7" customFormat="false" ht="15" hidden="false" customHeight="false" outlineLevel="0" collapsed="false">
      <c r="A7" s="49" t="s">
        <v>61</v>
      </c>
      <c r="B7" s="52" t="n">
        <v>58000</v>
      </c>
      <c r="C7" s="52" t="n">
        <v>505</v>
      </c>
      <c r="D7" s="52" t="n">
        <v>1100</v>
      </c>
      <c r="E7" s="52" t="n">
        <v>420</v>
      </c>
      <c r="F7" s="52" t="n">
        <v>790</v>
      </c>
      <c r="G7" s="52" t="n">
        <v>100</v>
      </c>
      <c r="H7" s="52" t="n">
        <v>7199</v>
      </c>
    </row>
    <row r="8" customFormat="false" ht="15" hidden="false" customHeight="false" outlineLevel="0" collapsed="false">
      <c r="A8" s="49" t="s">
        <v>65</v>
      </c>
      <c r="B8" s="52" t="n">
        <v>47000</v>
      </c>
      <c r="C8" s="52" t="n">
        <v>396</v>
      </c>
      <c r="D8" s="52" t="n">
        <v>380</v>
      </c>
      <c r="E8" s="52" t="n">
        <v>310</v>
      </c>
      <c r="F8" s="52" t="n">
        <v>430</v>
      </c>
      <c r="G8" s="52" t="n">
        <v>90</v>
      </c>
      <c r="H8" s="52" t="n">
        <v>7884</v>
      </c>
    </row>
    <row r="9" customFormat="false" ht="15" hidden="false" customHeight="false" outlineLevel="0" collapsed="false">
      <c r="A9" s="49" t="s">
        <v>68</v>
      </c>
      <c r="B9" s="52" t="n">
        <v>31000</v>
      </c>
      <c r="C9" s="52" t="n">
        <v>1646</v>
      </c>
      <c r="D9" s="52" t="n">
        <v>480</v>
      </c>
      <c r="E9" s="52" t="n">
        <v>250</v>
      </c>
      <c r="F9" s="52" t="n">
        <v>550</v>
      </c>
      <c r="G9" s="52" t="n">
        <v>75</v>
      </c>
      <c r="H9" s="52" t="n">
        <v>8993</v>
      </c>
    </row>
    <row r="10" customFormat="false" ht="15" hidden="false" customHeight="false" outlineLevel="0" collapsed="false">
      <c r="A10" s="49" t="s">
        <v>71</v>
      </c>
      <c r="B10" s="52" t="n">
        <v>9000</v>
      </c>
      <c r="C10" s="52" t="n">
        <v>73</v>
      </c>
      <c r="D10" s="52" t="n">
        <v>150</v>
      </c>
      <c r="E10" s="52" t="n">
        <v>80</v>
      </c>
      <c r="F10" s="52" t="n">
        <v>130</v>
      </c>
      <c r="G10" s="52" t="n">
        <v>11</v>
      </c>
      <c r="H10" s="52" t="n">
        <v>6654</v>
      </c>
    </row>
    <row r="12" customFormat="false" ht="15" hidden="false" customHeight="false" outlineLevel="0" collapsed="false">
      <c r="A12" s="53" t="s">
        <v>362</v>
      </c>
      <c r="B12" s="53"/>
      <c r="C12" s="53"/>
      <c r="D12" s="53"/>
      <c r="E12" s="53"/>
      <c r="F12" s="53"/>
      <c r="G12" s="53"/>
      <c r="H12" s="53"/>
    </row>
    <row r="13" customFormat="false" ht="15" hidden="false" customHeight="false" outlineLevel="0" collapsed="false">
      <c r="A13" s="47" t="s">
        <v>340</v>
      </c>
      <c r="B13" s="47" t="s">
        <v>363</v>
      </c>
      <c r="C13" s="47" t="s">
        <v>364</v>
      </c>
      <c r="D13" s="47" t="s">
        <v>365</v>
      </c>
      <c r="E13" s="47" t="s">
        <v>366</v>
      </c>
      <c r="F13" s="47" t="s">
        <v>367</v>
      </c>
      <c r="G13" s="47" t="s">
        <v>368</v>
      </c>
      <c r="H13" s="47" t="s">
        <v>369</v>
      </c>
    </row>
    <row r="14" customFormat="false" ht="15" hidden="false" customHeight="false" outlineLevel="0" collapsed="false">
      <c r="A14" s="49" t="s">
        <v>46</v>
      </c>
      <c r="B14" s="54" t="n">
        <v>506004</v>
      </c>
      <c r="C14" s="54" t="n">
        <v>90628</v>
      </c>
      <c r="D14" s="54" t="n">
        <v>15180123</v>
      </c>
      <c r="E14" s="54" t="n">
        <v>2718828</v>
      </c>
      <c r="F14" s="54" t="n">
        <v>82471116</v>
      </c>
      <c r="G14" s="54" t="n">
        <v>4387056</v>
      </c>
      <c r="H14" s="54" t="n">
        <v>785741</v>
      </c>
    </row>
    <row r="15" customFormat="false" ht="15" hidden="false" customHeight="false" outlineLevel="0" collapsed="false">
      <c r="A15" s="49" t="s">
        <v>52</v>
      </c>
      <c r="B15" s="54" t="n">
        <v>509582</v>
      </c>
      <c r="C15" s="54" t="n">
        <v>65894</v>
      </c>
      <c r="D15" s="54" t="n">
        <v>15287466</v>
      </c>
      <c r="E15" s="54" t="n">
        <v>1976828</v>
      </c>
      <c r="F15" s="54" t="n">
        <v>76964484</v>
      </c>
      <c r="G15" s="54" t="n">
        <v>4418078</v>
      </c>
      <c r="H15" s="54" t="n">
        <v>571303</v>
      </c>
    </row>
    <row r="16" customFormat="false" ht="15" hidden="false" customHeight="false" outlineLevel="0" collapsed="false">
      <c r="A16" s="49" t="s">
        <v>56</v>
      </c>
      <c r="B16" s="54" t="n">
        <v>417368</v>
      </c>
      <c r="C16" s="54" t="n">
        <v>85710</v>
      </c>
      <c r="D16" s="54" t="n">
        <v>12521040</v>
      </c>
      <c r="E16" s="54" t="n">
        <v>2571285</v>
      </c>
      <c r="F16" s="54" t="n">
        <v>70654440</v>
      </c>
      <c r="G16" s="54" t="n">
        <v>3618581</v>
      </c>
      <c r="H16" s="54" t="n">
        <v>743101</v>
      </c>
    </row>
    <row r="17" customFormat="false" ht="15" hidden="false" customHeight="false" outlineLevel="0" collapsed="false">
      <c r="A17" s="49" t="s">
        <v>61</v>
      </c>
      <c r="B17" s="54" t="n">
        <v>568713</v>
      </c>
      <c r="C17" s="54" t="n">
        <v>71989</v>
      </c>
      <c r="D17" s="54" t="n">
        <v>17061393</v>
      </c>
      <c r="E17" s="54" t="n">
        <v>2159670</v>
      </c>
      <c r="F17" s="54" t="n">
        <v>85522932</v>
      </c>
      <c r="G17" s="54" t="n">
        <v>4930743</v>
      </c>
      <c r="H17" s="54" t="n">
        <v>624145</v>
      </c>
    </row>
    <row r="18" customFormat="false" ht="15" hidden="false" customHeight="false" outlineLevel="0" collapsed="false">
      <c r="A18" s="49" t="s">
        <v>65</v>
      </c>
      <c r="B18" s="54" t="n">
        <v>338990</v>
      </c>
      <c r="C18" s="54" t="n">
        <v>70952</v>
      </c>
      <c r="D18" s="54" t="n">
        <v>10169715</v>
      </c>
      <c r="E18" s="54" t="n">
        <v>2128545</v>
      </c>
      <c r="F18" s="54" t="n">
        <v>57707220</v>
      </c>
      <c r="G18" s="54" t="n">
        <v>2939048</v>
      </c>
      <c r="H18" s="54" t="n">
        <v>615150</v>
      </c>
    </row>
    <row r="19" customFormat="false" ht="15" hidden="false" customHeight="false" outlineLevel="0" collapsed="false">
      <c r="A19" s="49" t="s">
        <v>68</v>
      </c>
      <c r="B19" s="54" t="n">
        <v>494598</v>
      </c>
      <c r="C19" s="54" t="n">
        <v>67445</v>
      </c>
      <c r="D19" s="54" t="n">
        <v>14837955</v>
      </c>
      <c r="E19" s="54" t="n">
        <v>2023358</v>
      </c>
      <c r="F19" s="54" t="n">
        <v>75538680</v>
      </c>
      <c r="G19" s="54" t="n">
        <v>4288169</v>
      </c>
      <c r="H19" s="54" t="n">
        <v>584750</v>
      </c>
    </row>
    <row r="20" customFormat="false" ht="15" hidden="false" customHeight="false" outlineLevel="0" collapsed="false">
      <c r="A20" s="49" t="s">
        <v>71</v>
      </c>
      <c r="B20" s="54" t="n">
        <v>86497</v>
      </c>
      <c r="C20" s="54" t="n">
        <v>7319</v>
      </c>
      <c r="D20" s="54" t="n">
        <v>2594904</v>
      </c>
      <c r="E20" s="54" t="n">
        <v>219569</v>
      </c>
      <c r="F20" s="54" t="n">
        <v>12136166</v>
      </c>
      <c r="G20" s="54" t="n">
        <v>749927</v>
      </c>
      <c r="H20" s="54" t="n">
        <v>63455</v>
      </c>
    </row>
    <row r="22" customFormat="false" ht="15" hidden="false" customHeight="false" outlineLevel="0" collapsed="false">
      <c r="A22" s="53" t="s">
        <v>370</v>
      </c>
      <c r="B22" s="53"/>
      <c r="C22" s="53"/>
      <c r="D22" s="53"/>
      <c r="E22" s="53"/>
      <c r="F22" s="53"/>
      <c r="G22" s="53"/>
      <c r="H22" s="53"/>
      <c r="I22" s="53"/>
      <c r="J22" s="53"/>
    </row>
    <row r="23" customFormat="false" ht="15" hidden="false" customHeight="false" outlineLevel="0" collapsed="false">
      <c r="A23" s="47" t="s">
        <v>340</v>
      </c>
      <c r="B23" s="47" t="s">
        <v>363</v>
      </c>
      <c r="C23" s="47" t="s">
        <v>364</v>
      </c>
      <c r="D23" s="47" t="s">
        <v>365</v>
      </c>
      <c r="E23" s="47" t="s">
        <v>366</v>
      </c>
      <c r="F23" s="47" t="s">
        <v>367</v>
      </c>
      <c r="G23" s="47" t="s">
        <v>371</v>
      </c>
      <c r="H23" s="47" t="s">
        <v>372</v>
      </c>
      <c r="I23" s="47" t="s">
        <v>373</v>
      </c>
      <c r="J23" s="47" t="s">
        <v>374</v>
      </c>
      <c r="K23" s="47" t="s">
        <v>375</v>
      </c>
    </row>
    <row r="24" customFormat="false" ht="15" hidden="false" customHeight="false" outlineLevel="0" collapsed="false">
      <c r="A24" s="49" t="s">
        <v>46</v>
      </c>
      <c r="B24" s="54" t="n">
        <v>1531104</v>
      </c>
      <c r="C24" s="54" t="n">
        <v>173428</v>
      </c>
      <c r="D24" s="54" t="n">
        <v>45933123</v>
      </c>
      <c r="E24" s="54" t="n">
        <v>5202828</v>
      </c>
      <c r="F24" s="54" t="n">
        <v>225355116</v>
      </c>
      <c r="G24" s="54" t="n">
        <v>703500</v>
      </c>
      <c r="H24" s="54" t="n">
        <v>321600</v>
      </c>
      <c r="I24" s="54" t="n">
        <v>54000</v>
      </c>
      <c r="J24" s="54" t="n">
        <v>28800</v>
      </c>
      <c r="K24" s="55" t="n">
        <v>2.73</v>
      </c>
    </row>
    <row r="25" customFormat="false" ht="15" hidden="false" customHeight="false" outlineLevel="0" collapsed="false">
      <c r="A25" s="49" t="s">
        <v>52</v>
      </c>
      <c r="B25" s="54" t="n">
        <v>1396982</v>
      </c>
      <c r="C25" s="54" t="n">
        <v>117644</v>
      </c>
      <c r="D25" s="54" t="n">
        <v>41909466</v>
      </c>
      <c r="E25" s="54" t="n">
        <v>3529328</v>
      </c>
      <c r="F25" s="54" t="n">
        <v>195872484</v>
      </c>
      <c r="G25" s="54" t="n">
        <v>609000</v>
      </c>
      <c r="H25" s="54" t="n">
        <v>278400</v>
      </c>
      <c r="I25" s="54" t="n">
        <v>33750</v>
      </c>
      <c r="J25" s="54" t="n">
        <v>18000</v>
      </c>
      <c r="K25" s="55" t="n">
        <v>2.54</v>
      </c>
    </row>
    <row r="26" customFormat="false" ht="15" hidden="false" customHeight="false" outlineLevel="0" collapsed="false">
      <c r="A26" s="49" t="s">
        <v>56</v>
      </c>
      <c r="B26" s="54" t="n">
        <v>1274168</v>
      </c>
      <c r="C26" s="54" t="n">
        <v>165060</v>
      </c>
      <c r="D26" s="54" t="n">
        <v>38225040</v>
      </c>
      <c r="E26" s="54" t="n">
        <v>4951785</v>
      </c>
      <c r="F26" s="54" t="n">
        <v>192514440</v>
      </c>
      <c r="G26" s="54" t="n">
        <v>588000</v>
      </c>
      <c r="H26" s="54" t="n">
        <v>268800</v>
      </c>
      <c r="I26" s="54" t="n">
        <v>51750</v>
      </c>
      <c r="J26" s="54" t="n">
        <v>27600</v>
      </c>
      <c r="K26" s="55" t="n">
        <v>2.72</v>
      </c>
    </row>
    <row r="27" customFormat="false" ht="15" hidden="false" customHeight="false" outlineLevel="0" collapsed="false">
      <c r="A27" s="49" t="s">
        <v>61</v>
      </c>
      <c r="B27" s="54" t="n">
        <v>1777413</v>
      </c>
      <c r="C27" s="54" t="n">
        <v>140989</v>
      </c>
      <c r="D27" s="54" t="n">
        <v>53322393</v>
      </c>
      <c r="E27" s="54" t="n">
        <v>4229670</v>
      </c>
      <c r="F27" s="54" t="n">
        <v>247126932</v>
      </c>
      <c r="G27" s="54" t="n">
        <v>829500</v>
      </c>
      <c r="H27" s="54" t="n">
        <v>379200</v>
      </c>
      <c r="I27" s="54" t="n">
        <v>45000</v>
      </c>
      <c r="J27" s="54" t="n">
        <v>24000</v>
      </c>
      <c r="K27" s="55" t="n">
        <v>2.89</v>
      </c>
    </row>
    <row r="28" customFormat="false" ht="15" hidden="false" customHeight="false" outlineLevel="0" collapsed="false">
      <c r="A28" s="49" t="s">
        <v>65</v>
      </c>
      <c r="B28" s="54" t="n">
        <v>996890</v>
      </c>
      <c r="C28" s="54" t="n">
        <v>133052</v>
      </c>
      <c r="D28" s="54" t="n">
        <v>29906715</v>
      </c>
      <c r="E28" s="54" t="n">
        <v>3991545</v>
      </c>
      <c r="F28" s="54" t="n">
        <v>151559220</v>
      </c>
      <c r="G28" s="54" t="n">
        <v>451500</v>
      </c>
      <c r="H28" s="54" t="n">
        <v>206400</v>
      </c>
      <c r="I28" s="54" t="n">
        <v>40500</v>
      </c>
      <c r="J28" s="54" t="n">
        <v>21600</v>
      </c>
      <c r="K28" s="55" t="n">
        <v>2.63</v>
      </c>
    </row>
    <row r="29" customFormat="false" ht="15" hidden="false" customHeight="false" outlineLevel="0" collapsed="false">
      <c r="A29" s="49" t="s">
        <v>68</v>
      </c>
      <c r="B29" s="54" t="n">
        <v>1336098</v>
      </c>
      <c r="C29" s="54" t="n">
        <v>119195</v>
      </c>
      <c r="D29" s="54" t="n">
        <v>40082955</v>
      </c>
      <c r="E29" s="54" t="n">
        <v>3575858</v>
      </c>
      <c r="F29" s="54" t="n">
        <v>188938680</v>
      </c>
      <c r="G29" s="54" t="n">
        <v>577500</v>
      </c>
      <c r="H29" s="54" t="n">
        <v>264000</v>
      </c>
      <c r="I29" s="54" t="n">
        <v>33750</v>
      </c>
      <c r="J29" s="54" t="n">
        <v>18000</v>
      </c>
      <c r="K29" s="55" t="n">
        <v>2.5</v>
      </c>
    </row>
    <row r="30" customFormat="false" ht="15" hidden="false" customHeight="false" outlineLevel="0" collapsed="false">
      <c r="A30" s="49" t="s">
        <v>71</v>
      </c>
      <c r="B30" s="54" t="n">
        <v>285397</v>
      </c>
      <c r="C30" s="54" t="n">
        <v>14909</v>
      </c>
      <c r="D30" s="54" t="n">
        <v>8561904</v>
      </c>
      <c r="E30" s="54" t="n">
        <v>447269</v>
      </c>
      <c r="F30" s="54" t="n">
        <v>37825766</v>
      </c>
      <c r="G30" s="54" t="n">
        <v>136500</v>
      </c>
      <c r="H30" s="54" t="n">
        <v>62400</v>
      </c>
      <c r="I30" s="54" t="n">
        <v>4950</v>
      </c>
      <c r="J30" s="54" t="n">
        <v>2640</v>
      </c>
      <c r="K30" s="55" t="n">
        <v>3.12</v>
      </c>
    </row>
    <row r="33" customFormat="false" ht="15" hidden="false" customHeight="false" outlineLevel="0" collapsed="false">
      <c r="A33" s="44" t="s">
        <v>376</v>
      </c>
    </row>
    <row r="34" customFormat="false" ht="15" hidden="false" customHeight="false" outlineLevel="0" collapsed="false">
      <c r="A34" s="45" t="s">
        <v>377</v>
      </c>
      <c r="B34" s="46" t="s">
        <v>161</v>
      </c>
    </row>
    <row r="35" customFormat="false" ht="15" hidden="false" customHeight="false" outlineLevel="0" collapsed="false">
      <c r="A35" s="45" t="s">
        <v>378</v>
      </c>
      <c r="B35" s="46" t="s">
        <v>19</v>
      </c>
    </row>
    <row r="36" customFormat="false" ht="15" hidden="false" customHeight="false" outlineLevel="0" collapsed="false">
      <c r="A36" s="45" t="s">
        <v>379</v>
      </c>
      <c r="B36" s="46" t="s">
        <v>380</v>
      </c>
    </row>
    <row r="37" customFormat="false" ht="15" hidden="false" customHeight="false" outlineLevel="0" collapsed="false">
      <c r="A37" s="45" t="s">
        <v>381</v>
      </c>
      <c r="B37" s="46" t="s">
        <v>13</v>
      </c>
    </row>
    <row r="38" customFormat="false" ht="15" hidden="false" customHeight="false" outlineLevel="0" collapsed="false">
      <c r="A38" s="45" t="s">
        <v>382</v>
      </c>
      <c r="B38" s="46" t="s">
        <v>16</v>
      </c>
    </row>
    <row r="39" customFormat="false" ht="15" hidden="false" customHeight="false" outlineLevel="0" collapsed="false">
      <c r="A39" s="45" t="s">
        <v>383</v>
      </c>
      <c r="B39" s="46" t="s">
        <v>22</v>
      </c>
    </row>
    <row r="40" customFormat="false" ht="15" hidden="false" customHeight="false" outlineLevel="0" collapsed="false">
      <c r="A40" s="45" t="s">
        <v>384</v>
      </c>
      <c r="B40" s="46" t="s">
        <v>385</v>
      </c>
    </row>
    <row r="41" customFormat="false" ht="15" hidden="false" customHeight="false" outlineLevel="0" collapsed="false">
      <c r="A41" s="45" t="s">
        <v>386</v>
      </c>
      <c r="B41" s="46" t="s">
        <v>10</v>
      </c>
    </row>
    <row r="42" customFormat="false" ht="15" hidden="false" customHeight="false" outlineLevel="0" collapsed="false">
      <c r="A42" s="45" t="s">
        <v>387</v>
      </c>
      <c r="B42" s="56" t="s">
        <v>388</v>
      </c>
    </row>
  </sheetData>
  <mergeCells count="3">
    <mergeCell ref="A1:K1"/>
    <mergeCell ref="A12:H12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8"/>
  </cols>
  <sheetData>
    <row r="1" customFormat="false" ht="16.4" hidden="false" customHeight="false" outlineLevel="0" collapsed="false">
      <c r="A1" s="43" t="s">
        <v>389</v>
      </c>
      <c r="B1" s="43"/>
      <c r="C1" s="43"/>
      <c r="D1" s="43"/>
      <c r="E1" s="43"/>
      <c r="F1" s="43"/>
    </row>
    <row r="3" customFormat="false" ht="15" hidden="false" customHeight="false" outlineLevel="0" collapsed="false">
      <c r="A3" s="47" t="s">
        <v>340</v>
      </c>
      <c r="B3" s="48" t="s">
        <v>390</v>
      </c>
      <c r="C3" s="48" t="s">
        <v>391</v>
      </c>
      <c r="D3" s="47" t="s">
        <v>392</v>
      </c>
      <c r="E3" s="47" t="s">
        <v>375</v>
      </c>
      <c r="F3" s="47" t="s">
        <v>30</v>
      </c>
    </row>
    <row r="4" customFormat="false" ht="15" hidden="false" customHeight="false" outlineLevel="0" collapsed="false">
      <c r="A4" s="49" t="s">
        <v>61</v>
      </c>
      <c r="B4" s="54" t="n">
        <v>85522932</v>
      </c>
      <c r="C4" s="54" t="n">
        <v>247126932</v>
      </c>
      <c r="D4" s="54" t="n">
        <v>161604000</v>
      </c>
      <c r="E4" s="57" t="n">
        <v>2.89</v>
      </c>
      <c r="F4" s="58" t="s">
        <v>59</v>
      </c>
    </row>
    <row r="5" customFormat="false" ht="15" hidden="false" customHeight="false" outlineLevel="0" collapsed="false">
      <c r="A5" s="49" t="s">
        <v>46</v>
      </c>
      <c r="B5" s="54" t="n">
        <v>82471116</v>
      </c>
      <c r="C5" s="54" t="n">
        <v>225355116</v>
      </c>
      <c r="D5" s="54" t="n">
        <v>142884000</v>
      </c>
      <c r="E5" s="57" t="n">
        <v>2.73</v>
      </c>
      <c r="F5" s="59" t="s">
        <v>44</v>
      </c>
    </row>
    <row r="6" customFormat="false" ht="15" hidden="false" customHeight="false" outlineLevel="0" collapsed="false">
      <c r="A6" s="49" t="s">
        <v>52</v>
      </c>
      <c r="B6" s="54" t="n">
        <v>76964484</v>
      </c>
      <c r="C6" s="54" t="n">
        <v>195872484</v>
      </c>
      <c r="D6" s="54" t="n">
        <v>118908000</v>
      </c>
      <c r="E6" s="57" t="n">
        <v>2.54</v>
      </c>
      <c r="F6" s="59" t="s">
        <v>44</v>
      </c>
    </row>
    <row r="7" customFormat="false" ht="15" hidden="false" customHeight="false" outlineLevel="0" collapsed="false">
      <c r="A7" s="49" t="s">
        <v>56</v>
      </c>
      <c r="B7" s="54" t="n">
        <v>70654440</v>
      </c>
      <c r="C7" s="54" t="n">
        <v>192514440</v>
      </c>
      <c r="D7" s="54" t="n">
        <v>121860000</v>
      </c>
      <c r="E7" s="57" t="n">
        <v>2.72</v>
      </c>
      <c r="F7" s="59" t="s">
        <v>44</v>
      </c>
    </row>
    <row r="8" customFormat="false" ht="15" hidden="false" customHeight="false" outlineLevel="0" collapsed="false">
      <c r="A8" s="49" t="s">
        <v>68</v>
      </c>
      <c r="B8" s="54" t="n">
        <v>75538680</v>
      </c>
      <c r="C8" s="54" t="n">
        <v>188938680</v>
      </c>
      <c r="D8" s="54" t="n">
        <v>113400000</v>
      </c>
      <c r="E8" s="57" t="n">
        <v>2.5</v>
      </c>
      <c r="F8" s="58" t="s">
        <v>59</v>
      </c>
    </row>
    <row r="9" customFormat="false" ht="15" hidden="false" customHeight="false" outlineLevel="0" collapsed="false">
      <c r="A9" s="49" t="s">
        <v>65</v>
      </c>
      <c r="B9" s="54" t="n">
        <v>57707220</v>
      </c>
      <c r="C9" s="54" t="n">
        <v>151559220</v>
      </c>
      <c r="D9" s="54" t="n">
        <v>93852000</v>
      </c>
      <c r="E9" s="57" t="n">
        <v>2.63</v>
      </c>
      <c r="F9" s="60" t="s">
        <v>75</v>
      </c>
    </row>
    <row r="10" customFormat="false" ht="15" hidden="false" customHeight="false" outlineLevel="0" collapsed="false">
      <c r="A10" s="49" t="s">
        <v>71</v>
      </c>
      <c r="B10" s="54" t="n">
        <v>12136166</v>
      </c>
      <c r="C10" s="54" t="n">
        <v>37825766</v>
      </c>
      <c r="D10" s="54" t="n">
        <v>25689600</v>
      </c>
      <c r="E10" s="57" t="n">
        <v>3.12</v>
      </c>
      <c r="F10" s="61" t="s">
        <v>92</v>
      </c>
    </row>
    <row r="11" customFormat="false" ht="15" hidden="false" customHeight="false" outlineLevel="0" collapsed="false">
      <c r="A11" s="62" t="s">
        <v>393</v>
      </c>
      <c r="B11" s="63" t="n">
        <v>460995038</v>
      </c>
      <c r="C11" s="63" t="n">
        <v>1239192638</v>
      </c>
      <c r="D11" s="63" t="n">
        <v>778197600</v>
      </c>
      <c r="E11" s="64" t="n">
        <v>2.68808237801466</v>
      </c>
    </row>
    <row r="13" customFormat="false" ht="15" hidden="false" customHeight="false" outlineLevel="0" collapsed="false">
      <c r="A13" s="44" t="s">
        <v>394</v>
      </c>
    </row>
    <row r="14" customFormat="false" ht="12.65" hidden="false" customHeight="false" outlineLevel="0" collapsed="false">
      <c r="A14" s="65" t="s">
        <v>395</v>
      </c>
      <c r="B14" s="65"/>
      <c r="C14" s="65"/>
      <c r="D14" s="65"/>
      <c r="E14" s="65"/>
      <c r="F14" s="65"/>
    </row>
    <row r="15" customFormat="false" ht="12.65" hidden="false" customHeight="false" outlineLevel="0" collapsed="false">
      <c r="A15" s="65" t="s">
        <v>396</v>
      </c>
      <c r="B15" s="65"/>
      <c r="C15" s="65"/>
      <c r="D15" s="65"/>
      <c r="E15" s="65"/>
      <c r="F15" s="65"/>
    </row>
    <row r="16" customFormat="false" ht="12.65" hidden="false" customHeight="false" outlineLevel="0" collapsed="false">
      <c r="A16" s="65" t="s">
        <v>397</v>
      </c>
      <c r="B16" s="65"/>
      <c r="C16" s="65"/>
      <c r="D16" s="65"/>
      <c r="E16" s="65"/>
      <c r="F16" s="65"/>
    </row>
    <row r="17" customFormat="false" ht="12.65" hidden="false" customHeight="false" outlineLevel="0" collapsed="false">
      <c r="A17" s="65" t="s">
        <v>398</v>
      </c>
      <c r="B17" s="65"/>
      <c r="C17" s="65"/>
      <c r="D17" s="65"/>
      <c r="E17" s="65"/>
      <c r="F17" s="65"/>
    </row>
    <row r="18" customFormat="false" ht="12.65" hidden="false" customHeight="false" outlineLevel="0" collapsed="false">
      <c r="A18" s="65" t="s">
        <v>399</v>
      </c>
      <c r="B18" s="65"/>
      <c r="C18" s="65"/>
      <c r="D18" s="65"/>
      <c r="E18" s="65"/>
      <c r="F18" s="65"/>
    </row>
  </sheetData>
  <mergeCells count="6">
    <mergeCell ref="A1:F1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2026-04-02T23:01:33Z</dcterms:created>
  <dc:creator>openpyxl</dc:creator>
  <dc:description/>
  <dc:language>en-US</dc:language>
  <cp:lastModifiedBy/>
  <dcterms:modified xsi:type="dcterms:W3CDTF">2026-04-03T08:58:49Z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